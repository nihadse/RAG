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F94929E5205205E1D4B6CD11A9C723393A42203D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Habit Tracker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200" i="1" l="1"/>
  <c r="AG201" i="1"/>
  <c r="AF200" i="1"/>
  <c r="AF201" i="1"/>
  <c r="AE200" i="1"/>
  <c r="AE201" i="1"/>
  <c r="AD200" i="1"/>
  <c r="AD201" i="1"/>
  <c r="AC200" i="1"/>
  <c r="AC201" i="1"/>
  <c r="AB200" i="1"/>
  <c r="AB201" i="1"/>
  <c r="AA200" i="1"/>
  <c r="AA201" i="1"/>
  <c r="Z200" i="1"/>
  <c r="Z201" i="1"/>
  <c r="Y200" i="1"/>
  <c r="Y201" i="1"/>
  <c r="X200" i="1"/>
  <c r="X201" i="1"/>
  <c r="W200" i="1"/>
  <c r="W201" i="1"/>
  <c r="V200" i="1"/>
  <c r="V201" i="1"/>
  <c r="U200" i="1"/>
  <c r="U201" i="1"/>
  <c r="T200" i="1"/>
  <c r="T201" i="1"/>
  <c r="S200" i="1"/>
  <c r="S201" i="1"/>
  <c r="R200" i="1"/>
  <c r="R201" i="1"/>
  <c r="Q200" i="1"/>
  <c r="Q201" i="1"/>
  <c r="P200" i="1"/>
  <c r="P201" i="1"/>
  <c r="O200" i="1"/>
  <c r="O201" i="1"/>
  <c r="N200" i="1"/>
  <c r="N201" i="1"/>
  <c r="M200" i="1"/>
  <c r="M201" i="1"/>
  <c r="L200" i="1"/>
  <c r="L201" i="1"/>
  <c r="K200" i="1"/>
  <c r="K201" i="1"/>
  <c r="J200" i="1"/>
  <c r="J201" i="1"/>
  <c r="I200" i="1"/>
  <c r="I201" i="1"/>
  <c r="H200" i="1"/>
  <c r="H201" i="1"/>
  <c r="G200" i="1"/>
  <c r="G201" i="1"/>
  <c r="F200" i="1"/>
  <c r="F201" i="1"/>
  <c r="E200" i="1"/>
  <c r="E201" i="1"/>
  <c r="D200" i="1"/>
  <c r="D201" i="1"/>
  <c r="C200" i="1"/>
  <c r="C201" i="1"/>
  <c r="AI64" i="1"/>
  <c r="AK64" i="1"/>
  <c r="AL64" i="1"/>
  <c r="AJ64" i="1"/>
  <c r="AI63" i="1"/>
  <c r="AK63" i="1"/>
  <c r="AL63" i="1"/>
  <c r="AJ63" i="1"/>
  <c r="AI62" i="1"/>
  <c r="AK62" i="1"/>
  <c r="AL62" i="1"/>
  <c r="AJ62" i="1"/>
  <c r="AI61" i="1"/>
  <c r="AK61" i="1"/>
  <c r="AL61" i="1"/>
  <c r="AJ61" i="1"/>
  <c r="AI60" i="1"/>
  <c r="AK60" i="1"/>
  <c r="AL60" i="1"/>
  <c r="AJ60" i="1"/>
  <c r="AI59" i="1"/>
  <c r="AK59" i="1"/>
  <c r="AL59" i="1"/>
  <c r="AJ59" i="1"/>
  <c r="AI58" i="1"/>
  <c r="AK58" i="1"/>
  <c r="AL58" i="1"/>
  <c r="AJ58" i="1"/>
  <c r="AI57" i="1"/>
  <c r="AK57" i="1"/>
  <c r="AL57" i="1"/>
  <c r="AJ57" i="1"/>
  <c r="AI56" i="1"/>
  <c r="AK56" i="1"/>
  <c r="AL56" i="1"/>
  <c r="AJ56" i="1"/>
  <c r="AI55" i="1"/>
  <c r="AK55" i="1"/>
  <c r="AL55" i="1"/>
  <c r="AJ55" i="1"/>
  <c r="AI54" i="1"/>
  <c r="AK54" i="1"/>
  <c r="AL54" i="1"/>
  <c r="AJ54" i="1"/>
  <c r="AI53" i="1"/>
  <c r="AK53" i="1"/>
  <c r="AL53" i="1"/>
  <c r="AJ53" i="1"/>
  <c r="AI52" i="1"/>
  <c r="AK52" i="1"/>
  <c r="AL52" i="1"/>
  <c r="AJ52" i="1"/>
  <c r="AI51" i="1"/>
  <c r="AK51" i="1"/>
  <c r="AL51" i="1"/>
  <c r="AJ51" i="1"/>
  <c r="AI50" i="1"/>
  <c r="AK50" i="1"/>
  <c r="AL50" i="1"/>
  <c r="AJ50" i="1"/>
  <c r="AI49" i="1"/>
  <c r="AK49" i="1"/>
  <c r="AL49" i="1"/>
  <c r="AJ49" i="1"/>
  <c r="AI48" i="1"/>
  <c r="AK48" i="1"/>
  <c r="AL48" i="1"/>
  <c r="AJ48" i="1"/>
  <c r="AI47" i="1"/>
  <c r="AK47" i="1"/>
  <c r="AL47" i="1"/>
  <c r="AJ47" i="1"/>
  <c r="AE39" i="1"/>
  <c r="AF39" i="1"/>
  <c r="AG39" i="1"/>
  <c r="AE42" i="1"/>
  <c r="X39" i="1"/>
  <c r="Y39" i="1"/>
  <c r="Z39" i="1"/>
  <c r="AA39" i="1"/>
  <c r="AD39" i="1"/>
  <c r="AC39" i="1"/>
  <c r="AB39" i="1"/>
  <c r="X42" i="1"/>
  <c r="Q39" i="1"/>
  <c r="R39" i="1"/>
  <c r="S39" i="1"/>
  <c r="T39" i="1"/>
  <c r="W39" i="1"/>
  <c r="V39" i="1"/>
  <c r="U39" i="1"/>
  <c r="Q42" i="1"/>
  <c r="J39" i="1"/>
  <c r="K39" i="1"/>
  <c r="L39" i="1"/>
  <c r="M39" i="1"/>
  <c r="P39" i="1"/>
  <c r="O39" i="1"/>
  <c r="N39" i="1"/>
  <c r="J42" i="1"/>
  <c r="C39" i="1"/>
  <c r="D39" i="1"/>
  <c r="E39" i="1"/>
  <c r="F39" i="1"/>
  <c r="I39" i="1"/>
  <c r="H39" i="1"/>
  <c r="G39" i="1"/>
  <c r="C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U25" i="1"/>
  <c r="U24" i="1"/>
  <c r="U23" i="1"/>
  <c r="U22" i="1"/>
  <c r="U21" i="1"/>
  <c r="U20" i="1"/>
  <c r="U19" i="1"/>
  <c r="U18" i="1"/>
  <c r="U17" i="1"/>
  <c r="U16" i="1"/>
  <c r="BB1" i="1"/>
  <c r="BB2" i="1"/>
</calcChain>
</file>

<file path=xl/sharedStrings.xml><?xml version="1.0" encoding="utf-8"?>
<sst xmlns="http://schemas.openxmlformats.org/spreadsheetml/2006/main" count="111" uniqueCount="49">
  <si>
    <t>HABIT TRACKER</t>
  </si>
  <si>
    <t>OVERVIEW DAILY PROGRESS</t>
  </si>
  <si>
    <t>Completed</t>
  </si>
  <si>
    <t>Left</t>
  </si>
  <si>
    <t>- May -</t>
  </si>
  <si>
    <t>CALENDAR SETTINGS</t>
  </si>
  <si>
    <t>YEARS</t>
  </si>
  <si>
    <t>MONTHS</t>
  </si>
  <si>
    <t>May</t>
  </si>
  <si>
    <t>TOP 10 DAILY HABITS</t>
  </si>
  <si>
    <t>OVERVIEW</t>
  </si>
  <si>
    <t>WEEK 1</t>
  </si>
  <si>
    <t>WEEK 2</t>
  </si>
  <si>
    <t>WEEK 3</t>
  </si>
  <si>
    <t>WEEK 4</t>
  </si>
  <si>
    <t>WEEK 5</t>
  </si>
  <si>
    <t>Thu</t>
  </si>
  <si>
    <t>Fri</t>
  </si>
  <si>
    <t>Sat</t>
  </si>
  <si>
    <t>Sun</t>
  </si>
  <si>
    <t>Mon</t>
  </si>
  <si>
    <t>Tue</t>
  </si>
  <si>
    <t>Wed</t>
  </si>
  <si>
    <t>COMPLETED</t>
  </si>
  <si>
    <t>GOAL</t>
  </si>
  <si>
    <t>LEFT</t>
  </si>
  <si>
    <t>WEEKLY PROGRESS</t>
  </si>
  <si>
    <t>DAILY HABITS</t>
  </si>
  <si>
    <t>GOALS</t>
  </si>
  <si>
    <t>%</t>
  </si>
  <si>
    <t>PROGRESS</t>
  </si>
  <si>
    <t>1  Wake Up at Same Time</t>
  </si>
  <si>
    <t>2  Make Your Bed</t>
  </si>
  <si>
    <t>3  Morning Walk</t>
  </si>
  <si>
    <t>4  Breakfast As Per Diet Plan</t>
  </si>
  <si>
    <t>5  Read 5 Page (Book)</t>
  </si>
  <si>
    <t>6  Review To-Do List</t>
  </si>
  <si>
    <t>7  Drink 6-8 Water Glasses</t>
  </si>
  <si>
    <t>8  Meditation 10 Mins</t>
  </si>
  <si>
    <t>9  No Junk Food</t>
  </si>
  <si>
    <t>10  Get Sunlight 5-15 Mins</t>
  </si>
  <si>
    <t>11  Write Journal</t>
  </si>
  <si>
    <t>12  Limit Screen Time</t>
  </si>
  <si>
    <t>13  Daily Prayers</t>
  </si>
  <si>
    <t>14  Clean Your Room</t>
  </si>
  <si>
    <t>15  Prepare Tomorrow's Plan</t>
  </si>
  <si>
    <t>16  Review Your Day</t>
  </si>
  <si>
    <t>17  No Screen 1 Hour Before Bed</t>
  </si>
  <si>
    <t>18  Sleep At Same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</si>
</sst>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✓;;;"/>
    <numFmt numFmtId="165" formatCode="0.0%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2"/>
      <color rgb="FF000000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b/>
      <sz val="9"/>
      <color rgb="FF000000"/>
      <name val="Arial"/>
      <charset val="1"/>
    </font>
    <font>
      <sz val="8"/>
      <name val="Arial"/>
      <charset val="1"/>
    </font>
    <font>
      <b/>
      <sz val="8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38761D"/>
      <name val="Arial"/>
      <charset val="1"/>
    </font>
    <font>
      <sz val="9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70AD47"/>
        <bgColor rgb="FF839F4B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D9EAD3"/>
      </patternFill>
    </fill>
    <fill>
      <patternFill patternType="solid">
        <fgColor rgb="FFE06666"/>
        <bgColor rgb="FFC67170"/>
      </patternFill>
    </fill>
    <fill>
      <patternFill patternType="solid">
        <fgColor rgb="FF8E7CC3"/>
        <bgColor rgb="FF927EAD"/>
      </patternFill>
    </fill>
    <fill>
      <patternFill patternType="solid">
        <fgColor rgb="FF93C47D"/>
        <bgColor rgb="FFA7C276"/>
      </patternFill>
    </fill>
    <fill>
      <patternFill patternType="solid">
        <fgColor rgb="FF6D9EEB"/>
        <bgColor rgb="FF7193C3"/>
      </patternFill>
    </fill>
    <fill>
      <patternFill patternType="solid">
        <fgColor rgb="FFF6B26B"/>
        <bgColor rgb="FFF7A46E"/>
      </patternFill>
    </fill>
    <fill>
      <patternFill patternType="solid">
        <fgColor rgb="FFF4CCC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D9EAD3"/>
        <bgColor rgb="FFE2EFDA"/>
      </patternFill>
    </fill>
    <fill>
      <patternFill patternType="solid">
        <fgColor rgb="FFC9DAF8"/>
        <bgColor rgb="FFD9D2E9"/>
      </patternFill>
    </fill>
    <fill>
      <patternFill patternType="solid">
        <fgColor rgb="FFFCE5CD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1" fillId="3" borderId="3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indent="1"/>
    </xf>
    <xf numFmtId="0" fontId="7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/>
    <xf numFmtId="1" fontId="0" fillId="0" borderId="0" xfId="0" applyNumberFormat="1"/>
    <xf numFmtId="0" fontId="5" fillId="3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center" vertical="center"/>
    </xf>
    <xf numFmtId="164" fontId="16" fillId="11" borderId="3" xfId="0" applyNumberFormat="1" applyFont="1" applyFill="1" applyBorder="1" applyAlignment="1">
      <alignment horizontal="center" vertical="center"/>
    </xf>
    <xf numFmtId="164" fontId="16" fillId="12" borderId="3" xfId="0" applyNumberFormat="1" applyFont="1" applyFill="1" applyBorder="1" applyAlignment="1">
      <alignment horizontal="center" vertical="center"/>
    </xf>
    <xf numFmtId="164" fontId="16" fillId="13" borderId="3" xfId="0" applyNumberFormat="1" applyFont="1" applyFill="1" applyBorder="1" applyAlignment="1">
      <alignment horizontal="center" vertical="center"/>
    </xf>
    <xf numFmtId="164" fontId="16" fillId="14" borderId="3" xfId="0" applyNumberFormat="1" applyFont="1" applyFill="1" applyBorder="1" applyAlignment="1">
      <alignment horizontal="center" vertical="center"/>
    </xf>
    <xf numFmtId="164" fontId="16" fillId="15" borderId="3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165" fontId="17" fillId="3" borderId="3" xfId="0" applyNumberFormat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65" fontId="17" fillId="4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3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06666"/>
      <rgbColor rgb="FF70AD47"/>
      <rgbColor rgb="FFC1CBE0"/>
      <rgbColor rgb="FFBFD1A1"/>
      <rgbColor rgb="FFD19C9B"/>
      <rgbColor rgb="FF6D9EEB"/>
      <rgbColor rgb="FFD3803B"/>
      <rgbColor rgb="FF38761D"/>
      <rgbColor rgb="FFD9D9D9"/>
      <rgbColor rgb="FF71893F"/>
      <rgbColor rgb="FFC67170"/>
      <rgbColor rgb="FF357E91"/>
      <rgbColor rgb="FFBFBFBF"/>
      <rgbColor rgb="FF878787"/>
      <rgbColor rgb="FF9FB2D2"/>
      <rgbColor rgb="FF8D3936"/>
      <rgbColor rgb="FFF9F9F9"/>
      <rgbColor rgb="FFE2EFDA"/>
      <rgbColor rgb="FFA7C276"/>
      <rgbColor rgb="FFF49F68"/>
      <rgbColor rgb="FF3A5F8B"/>
      <rgbColor rgb="FFC9DAF8"/>
      <rgbColor rgb="FFF4CCCC"/>
      <rgbColor rgb="FFF7A46E"/>
      <rgbColor rgb="FFF5B798"/>
      <rgbColor rgb="FF93C47D"/>
      <rgbColor rgb="FF8E7CC3"/>
      <rgbColor rgb="FFEB8F42"/>
      <rgbColor rgb="FF416DA0"/>
      <rgbColor rgb="FFD9D2E9"/>
      <rgbColor rgb="FF6FB5CB"/>
      <rgbColor rgb="FFF2F2F2"/>
      <rgbColor rgb="FFD9EAD3"/>
      <rgbColor rgb="FFFCE5CD"/>
      <rgbColor rgb="FF9DC8D8"/>
      <rgbColor rgb="FFD5A1A0"/>
      <rgbColor rgb="FFB2A5C3"/>
      <rgbColor rgb="FFF9BD9E"/>
      <rgbColor rgb="FF497AB4"/>
      <rgbColor rgb="FF45A3BC"/>
      <rgbColor rgb="FF93B154"/>
      <rgbColor rgb="FFF6B26B"/>
      <rgbColor rgb="FFE98B3C"/>
      <rgbColor rgb="FFD27D35"/>
      <rgbColor rgb="FF795E99"/>
      <rgbColor rgb="FF927EAD"/>
      <rgbColor rgb="FF7193C3"/>
      <rgbColor rgb="FF3E92A9"/>
      <rgbColor rgb="FF839F4B"/>
      <rgbColor rgb="FFB56D31"/>
      <rgbColor rgb="FFB64A47"/>
      <rgbColor rgb="FFA3433F"/>
      <rgbColor rgb="FF5D4876"/>
      <rgbColor rgb="FF6C548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Overall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Tracker'!$C$201</c:f>
            </c:numRef>
          </c:val>
          <c:smooth val="1"/>
          <c:extLst>
            <c:ext xmlns:c16="http://schemas.microsoft.com/office/drawing/2014/chart" uri="{C3380CC4-5D6E-409C-BE32-E72D297353CC}">
              <c16:uniqueId val="{00000000-57B7-F449-B65B-A78234663FD8}"/>
            </c:ext>
          </c:extLst>
        </c:ser>
        <c:ser>
          <c:idx val="1"/>
          <c:order val="1"/>
          <c:spPr>
            <a:ln w="28440">
              <a:solidFill>
                <a:srgbClr val="8C3734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Tracker'!$D$201</c:f>
            </c:numRef>
          </c:val>
          <c:smooth val="1"/>
          <c:extLst>
            <c:ext xmlns:c16="http://schemas.microsoft.com/office/drawing/2014/chart" uri="{C3380CC4-5D6E-409C-BE32-E72D297353CC}">
              <c16:uniqueId val="{00000001-57B7-F449-B65B-A78234663FD8}"/>
            </c:ext>
          </c:extLst>
        </c:ser>
        <c:ser>
          <c:idx val="2"/>
          <c:order val="2"/>
          <c:spPr>
            <a:ln w="28440">
              <a:solidFill>
                <a:srgbClr val="70883D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Tracker'!$E$201</c:f>
            </c:numRef>
          </c:val>
          <c:smooth val="1"/>
          <c:extLst>
            <c:ext xmlns:c16="http://schemas.microsoft.com/office/drawing/2014/chart" uri="{C3380CC4-5D6E-409C-BE32-E72D297353CC}">
              <c16:uniqueId val="{00000002-57B7-F449-B65B-A78234663FD8}"/>
            </c:ext>
          </c:extLst>
        </c:ser>
        <c:ser>
          <c:idx val="3"/>
          <c:order val="3"/>
          <c:spPr>
            <a:ln w="28440">
              <a:solidFill>
                <a:srgbClr val="5B4675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Tracker'!$F$201</c:f>
            </c:numRef>
          </c:val>
          <c:smooth val="1"/>
          <c:extLst>
            <c:ext xmlns:c16="http://schemas.microsoft.com/office/drawing/2014/chart" uri="{C3380CC4-5D6E-409C-BE32-E72D297353CC}">
              <c16:uniqueId val="{00000003-57B7-F449-B65B-A78234663FD8}"/>
            </c:ext>
          </c:extLst>
        </c:ser>
        <c:ser>
          <c:idx val="4"/>
          <c:order val="4"/>
          <c:spPr>
            <a:ln w="28440">
              <a:solidFill>
                <a:srgbClr val="337D90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Tracker'!$G$201</c:f>
            </c:numRef>
          </c:val>
          <c:smooth val="1"/>
          <c:extLst>
            <c:ext xmlns:c16="http://schemas.microsoft.com/office/drawing/2014/chart" uri="{C3380CC4-5D6E-409C-BE32-E72D297353CC}">
              <c16:uniqueId val="{00000004-57B7-F449-B65B-A78234663FD8}"/>
            </c:ext>
          </c:extLst>
        </c:ser>
        <c:ser>
          <c:idx val="5"/>
          <c:order val="5"/>
          <c:spPr>
            <a:ln w="28440">
              <a:solidFill>
                <a:srgbClr val="B46B2E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Tracker'!$H$201</c:f>
            </c:numRef>
          </c:val>
          <c:smooth val="1"/>
          <c:extLst>
            <c:ext xmlns:c16="http://schemas.microsoft.com/office/drawing/2014/chart" uri="{C3380CC4-5D6E-409C-BE32-E72D297353CC}">
              <c16:uniqueId val="{00000005-57B7-F449-B65B-A78234663FD8}"/>
            </c:ext>
          </c:extLst>
        </c:ser>
        <c:ser>
          <c:idx val="6"/>
          <c:order val="6"/>
          <c:spPr>
            <a:ln w="28440">
              <a:solidFill>
                <a:srgbClr val="3F6B9F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Tracker'!$I$201</c:f>
            </c:numRef>
          </c:val>
          <c:smooth val="1"/>
          <c:extLst>
            <c:ext xmlns:c16="http://schemas.microsoft.com/office/drawing/2014/chart" uri="{C3380CC4-5D6E-409C-BE32-E72D297353CC}">
              <c16:uniqueId val="{00000006-57B7-F449-B65B-A78234663FD8}"/>
            </c:ext>
          </c:extLst>
        </c:ser>
        <c:ser>
          <c:idx val="7"/>
          <c:order val="7"/>
          <c:spPr>
            <a:ln w="28440">
              <a:solidFill>
                <a:srgbClr val="A2403D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Tracker'!$J$201</c:f>
            </c:numRef>
          </c:val>
          <c:smooth val="1"/>
          <c:extLst>
            <c:ext xmlns:c16="http://schemas.microsoft.com/office/drawing/2014/chart" uri="{C3380CC4-5D6E-409C-BE32-E72D297353CC}">
              <c16:uniqueId val="{00000007-57B7-F449-B65B-A78234663FD8}"/>
            </c:ext>
          </c:extLst>
        </c:ser>
        <c:ser>
          <c:idx val="8"/>
          <c:order val="8"/>
          <c:spPr>
            <a:ln w="28440">
              <a:solidFill>
                <a:srgbClr val="829E48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Tracker'!$K$201</c:f>
            </c:numRef>
          </c:val>
          <c:smooth val="1"/>
          <c:extLst>
            <c:ext xmlns:c16="http://schemas.microsoft.com/office/drawing/2014/chart" uri="{C3380CC4-5D6E-409C-BE32-E72D297353CC}">
              <c16:uniqueId val="{00000008-57B7-F449-B65B-A78234663FD8}"/>
            </c:ext>
          </c:extLst>
        </c:ser>
        <c:ser>
          <c:idx val="9"/>
          <c:order val="9"/>
          <c:spPr>
            <a:ln w="28440">
              <a:solidFill>
                <a:srgbClr val="6A5287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Tracker'!$L$201</c:f>
            </c:numRef>
          </c:val>
          <c:smooth val="1"/>
          <c:extLst>
            <c:ext xmlns:c16="http://schemas.microsoft.com/office/drawing/2014/chart" uri="{C3380CC4-5D6E-409C-BE32-E72D297353CC}">
              <c16:uniqueId val="{00000009-57B7-F449-B65B-A78234663FD8}"/>
            </c:ext>
          </c:extLst>
        </c:ser>
        <c:ser>
          <c:idx val="10"/>
          <c:order val="10"/>
          <c:spPr>
            <a:ln w="28440">
              <a:solidFill>
                <a:srgbClr val="3B90A8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Tracker'!$M$201</c:f>
            </c:numRef>
          </c:val>
          <c:smooth val="1"/>
          <c:extLst>
            <c:ext xmlns:c16="http://schemas.microsoft.com/office/drawing/2014/chart" uri="{C3380CC4-5D6E-409C-BE32-E72D297353CC}">
              <c16:uniqueId val="{0000000A-57B7-F449-B65B-A78234663FD8}"/>
            </c:ext>
          </c:extLst>
        </c:ser>
        <c:ser>
          <c:idx val="11"/>
          <c:order val="11"/>
          <c:spPr>
            <a:ln w="28440">
              <a:solidFill>
                <a:srgbClr val="D27D35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Tracker'!$N$201</c:f>
            </c:numRef>
          </c:val>
          <c:smooth val="1"/>
          <c:extLst>
            <c:ext xmlns:c16="http://schemas.microsoft.com/office/drawing/2014/chart" uri="{C3380CC4-5D6E-409C-BE32-E72D297353CC}">
              <c16:uniqueId val="{0000000B-57B7-F449-B65B-A78234663FD8}"/>
            </c:ext>
          </c:extLst>
        </c:ser>
        <c:ser>
          <c:idx val="12"/>
          <c:order val="12"/>
          <c:spPr>
            <a:ln w="28440">
              <a:solidFill>
                <a:srgbClr val="4678B3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Tracker'!$O$201</c:f>
            </c:numRef>
          </c:val>
          <c:smooth val="1"/>
          <c:extLst>
            <c:ext xmlns:c16="http://schemas.microsoft.com/office/drawing/2014/chart" uri="{C3380CC4-5D6E-409C-BE32-E72D297353CC}">
              <c16:uniqueId val="{0000000C-57B7-F449-B65B-A78234663FD8}"/>
            </c:ext>
          </c:extLst>
        </c:ser>
        <c:ser>
          <c:idx val="13"/>
          <c:order val="13"/>
          <c:spPr>
            <a:ln w="28440">
              <a:solidFill>
                <a:srgbClr val="B54744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Tracker'!$P$201</c:f>
            </c:numRef>
          </c:val>
          <c:smooth val="1"/>
          <c:extLst>
            <c:ext xmlns:c16="http://schemas.microsoft.com/office/drawing/2014/chart" uri="{C3380CC4-5D6E-409C-BE32-E72D297353CC}">
              <c16:uniqueId val="{0000000D-57B7-F449-B65B-A78234663FD8}"/>
            </c:ext>
          </c:extLst>
        </c:ser>
        <c:ser>
          <c:idx val="14"/>
          <c:order val="14"/>
          <c:spPr>
            <a:ln w="28440">
              <a:solidFill>
                <a:srgbClr val="91B051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Tracker'!$Q$201</c:f>
            </c:numRef>
          </c:val>
          <c:smooth val="1"/>
          <c:extLst>
            <c:ext xmlns:c16="http://schemas.microsoft.com/office/drawing/2014/chart" uri="{C3380CC4-5D6E-409C-BE32-E72D297353CC}">
              <c16:uniqueId val="{0000000E-57B7-F449-B65B-A78234663FD8}"/>
            </c:ext>
          </c:extLst>
        </c:ser>
        <c:ser>
          <c:idx val="15"/>
          <c:order val="15"/>
          <c:spPr>
            <a:ln w="28440">
              <a:solidFill>
                <a:srgbClr val="775B97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Tracker'!$R$201</c:f>
            </c:numRef>
          </c:val>
          <c:smooth val="1"/>
          <c:extLst>
            <c:ext xmlns:c16="http://schemas.microsoft.com/office/drawing/2014/chart" uri="{C3380CC4-5D6E-409C-BE32-E72D297353CC}">
              <c16:uniqueId val="{0000000F-57B7-F449-B65B-A78234663FD8}"/>
            </c:ext>
          </c:extLst>
        </c:ser>
        <c:ser>
          <c:idx val="16"/>
          <c:order val="16"/>
          <c:spPr>
            <a:ln w="28440">
              <a:solidFill>
                <a:srgbClr val="42A2BB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Tracker'!$S$201</c:f>
            </c:numRef>
          </c:val>
          <c:smooth val="1"/>
          <c:extLst>
            <c:ext xmlns:c16="http://schemas.microsoft.com/office/drawing/2014/chart" uri="{C3380CC4-5D6E-409C-BE32-E72D297353CC}">
              <c16:uniqueId val="{00000010-57B7-F449-B65B-A78234663FD8}"/>
            </c:ext>
          </c:extLst>
        </c:ser>
        <c:ser>
          <c:idx val="17"/>
          <c:order val="17"/>
          <c:spPr>
            <a:ln w="28440">
              <a:solidFill>
                <a:srgbClr val="E98B3C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Tracker'!$T$201</c:f>
            </c:numRef>
          </c:val>
          <c:smooth val="1"/>
          <c:extLst>
            <c:ext xmlns:c16="http://schemas.microsoft.com/office/drawing/2014/chart" uri="{C3380CC4-5D6E-409C-BE32-E72D297353CC}">
              <c16:uniqueId val="{00000011-57B7-F449-B65B-A78234663FD8}"/>
            </c:ext>
          </c:extLst>
        </c:ser>
        <c:ser>
          <c:idx val="18"/>
          <c:order val="18"/>
          <c:spPr>
            <a:ln w="28440">
              <a:solidFill>
                <a:srgbClr val="6E90C1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Tracker'!$U$201</c:f>
            </c:numRef>
          </c:val>
          <c:smooth val="1"/>
          <c:extLst>
            <c:ext xmlns:c16="http://schemas.microsoft.com/office/drawing/2014/chart" uri="{C3380CC4-5D6E-409C-BE32-E72D297353CC}">
              <c16:uniqueId val="{00000012-57B7-F449-B65B-A78234663FD8}"/>
            </c:ext>
          </c:extLst>
        </c:ser>
        <c:ser>
          <c:idx val="19"/>
          <c:order val="19"/>
          <c:spPr>
            <a:ln w="28440">
              <a:solidFill>
                <a:srgbClr val="C46E6D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Tracker'!$V$201</c:f>
            </c:numRef>
          </c:val>
          <c:smooth val="1"/>
          <c:extLst>
            <c:ext xmlns:c16="http://schemas.microsoft.com/office/drawing/2014/chart" uri="{C3380CC4-5D6E-409C-BE32-E72D297353CC}">
              <c16:uniqueId val="{00000013-57B7-F449-B65B-A78234663FD8}"/>
            </c:ext>
          </c:extLst>
        </c:ser>
        <c:ser>
          <c:idx val="20"/>
          <c:order val="20"/>
          <c:spPr>
            <a:ln w="28440">
              <a:solidFill>
                <a:srgbClr val="A5C073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Tracker'!$W$201</c:f>
            </c:numRef>
          </c:val>
          <c:smooth val="1"/>
          <c:extLst>
            <c:ext xmlns:c16="http://schemas.microsoft.com/office/drawing/2014/chart" uri="{C3380CC4-5D6E-409C-BE32-E72D297353CC}">
              <c16:uniqueId val="{00000014-57B7-F449-B65B-A78234663FD8}"/>
            </c:ext>
          </c:extLst>
        </c:ser>
        <c:ser>
          <c:idx val="21"/>
          <c:order val="21"/>
          <c:spPr>
            <a:ln w="28440">
              <a:solidFill>
                <a:srgbClr val="8F7BAB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Tracker'!$X$201</c:f>
            </c:numRef>
          </c:val>
          <c:smooth val="1"/>
          <c:extLst>
            <c:ext xmlns:c16="http://schemas.microsoft.com/office/drawing/2014/chart" uri="{C3380CC4-5D6E-409C-BE32-E72D297353CC}">
              <c16:uniqueId val="{00000015-57B7-F449-B65B-A78234663FD8}"/>
            </c:ext>
          </c:extLst>
        </c:ser>
        <c:ser>
          <c:idx val="22"/>
          <c:order val="22"/>
          <c:spPr>
            <a:ln w="28440">
              <a:solidFill>
                <a:srgbClr val="6CB2C9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Tracker'!$Y$201</c:f>
            </c:numRef>
          </c:val>
          <c:smooth val="1"/>
          <c:extLst>
            <c:ext xmlns:c16="http://schemas.microsoft.com/office/drawing/2014/chart" uri="{C3380CC4-5D6E-409C-BE32-E72D297353CC}">
              <c16:uniqueId val="{00000016-57B7-F449-B65B-A78234663FD8}"/>
            </c:ext>
          </c:extLst>
        </c:ser>
        <c:ser>
          <c:idx val="23"/>
          <c:order val="23"/>
          <c:spPr>
            <a:ln w="28440">
              <a:solidFill>
                <a:srgbClr val="F49F68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Tracker'!$Z$201</c:f>
            </c:numRef>
          </c:val>
          <c:smooth val="1"/>
          <c:extLst>
            <c:ext xmlns:c16="http://schemas.microsoft.com/office/drawing/2014/chart" uri="{C3380CC4-5D6E-409C-BE32-E72D297353CC}">
              <c16:uniqueId val="{00000017-57B7-F449-B65B-A78234663FD8}"/>
            </c:ext>
          </c:extLst>
        </c:ser>
        <c:ser>
          <c:idx val="24"/>
          <c:order val="24"/>
          <c:spPr>
            <a:ln w="28440">
              <a:solidFill>
                <a:srgbClr val="9CAFCF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Tracker'!$AA$201</c:f>
            </c:numRef>
          </c:val>
          <c:smooth val="1"/>
          <c:extLst>
            <c:ext xmlns:c16="http://schemas.microsoft.com/office/drawing/2014/chart" uri="{C3380CC4-5D6E-409C-BE32-E72D297353CC}">
              <c16:uniqueId val="{00000018-57B7-F449-B65B-A78234663FD8}"/>
            </c:ext>
          </c:extLst>
        </c:ser>
        <c:ser>
          <c:idx val="25"/>
          <c:order val="25"/>
          <c:spPr>
            <a:ln w="28440">
              <a:solidFill>
                <a:srgbClr val="D19C9B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Tracker'!$AB$201</c:f>
            </c:numRef>
          </c:val>
          <c:smooth val="1"/>
          <c:extLst>
            <c:ext xmlns:c16="http://schemas.microsoft.com/office/drawing/2014/chart" uri="{C3380CC4-5D6E-409C-BE32-E72D297353CC}">
              <c16:uniqueId val="{00000019-57B7-F449-B65B-A78234663FD8}"/>
            </c:ext>
          </c:extLst>
        </c:ser>
        <c:ser>
          <c:idx val="26"/>
          <c:order val="26"/>
          <c:spPr>
            <a:ln w="28440">
              <a:solidFill>
                <a:srgbClr val="BBCE9E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Tracker'!$AC$201</c:f>
            </c:numRef>
          </c:val>
          <c:smooth val="1"/>
          <c:extLst>
            <c:ext xmlns:c16="http://schemas.microsoft.com/office/drawing/2014/chart" uri="{C3380CC4-5D6E-409C-BE32-E72D297353CC}">
              <c16:uniqueId val="{0000001A-57B7-F449-B65B-A78234663FD8}"/>
            </c:ext>
          </c:extLst>
        </c:ser>
        <c:ser>
          <c:idx val="27"/>
          <c:order val="27"/>
          <c:spPr>
            <a:ln w="28440">
              <a:solidFill>
                <a:srgbClr val="AFA2C0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Tracker'!$AD$201</c:f>
            </c:numRef>
          </c:val>
          <c:smooth val="1"/>
          <c:extLst>
            <c:ext xmlns:c16="http://schemas.microsoft.com/office/drawing/2014/chart" uri="{C3380CC4-5D6E-409C-BE32-E72D297353CC}">
              <c16:uniqueId val="{0000001B-57B7-F449-B65B-A78234663FD8}"/>
            </c:ext>
          </c:extLst>
        </c:ser>
        <c:ser>
          <c:idx val="28"/>
          <c:order val="28"/>
          <c:spPr>
            <a:ln w="28440">
              <a:solidFill>
                <a:srgbClr val="9AC5D5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Tracker'!$AE$201</c:f>
            </c:numRef>
          </c:val>
          <c:smooth val="1"/>
          <c:extLst>
            <c:ext xmlns:c16="http://schemas.microsoft.com/office/drawing/2014/chart" uri="{C3380CC4-5D6E-409C-BE32-E72D297353CC}">
              <c16:uniqueId val="{0000001C-57B7-F449-B65B-A78234663FD8}"/>
            </c:ext>
          </c:extLst>
        </c:ser>
        <c:ser>
          <c:idx val="29"/>
          <c:order val="29"/>
          <c:spPr>
            <a:ln w="28440">
              <a:solidFill>
                <a:srgbClr val="F5B798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Tracker'!$AF$201</c:f>
            </c:numRef>
          </c:val>
          <c:smooth val="1"/>
          <c:extLst>
            <c:ext xmlns:c16="http://schemas.microsoft.com/office/drawing/2014/chart" uri="{C3380CC4-5D6E-409C-BE32-E72D297353CC}">
              <c16:uniqueId val="{0000001D-57B7-F449-B65B-A78234663FD8}"/>
            </c:ext>
          </c:extLst>
        </c:ser>
        <c:ser>
          <c:idx val="30"/>
          <c:order val="30"/>
          <c:spPr>
            <a:ln w="28440">
              <a:solidFill>
                <a:srgbClr val="BCC7DD"/>
              </a:solidFill>
              <a:round/>
            </a:ln>
          </c:spPr>
          <c:marker>
            <c:symbol val="none"/>
          </c:marker>
          <c:cat>
            <c:numRef>
              <c:f>'Habit Tracker'!$C$45:$AG$45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'Habit Tracker'!$AG$201</c:f>
            </c:numRef>
          </c:val>
          <c:smooth val="1"/>
          <c:extLst>
            <c:ext xmlns:c16="http://schemas.microsoft.com/office/drawing/2014/chart" uri="{C3380CC4-5D6E-409C-BE32-E72D297353CC}">
              <c16:uniqueId val="{0000001E-57B7-F449-B65B-A78234663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4829250"/>
        <c:axId val="36380214"/>
      </c:lineChart>
      <c:catAx>
        <c:axId val="14829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80214"/>
        <c:crosses val="autoZero"/>
        <c:auto val="1"/>
        <c:lblAlgn val="ctr"/>
        <c:lblOffset val="100"/>
        <c:noMultiLvlLbl val="0"/>
      </c:catAx>
      <c:valAx>
        <c:axId val="3638021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292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tLst>
            <c:ext xmlns:c16="http://schemas.microsoft.com/office/drawing/2014/chart" uri="{C3380CC4-5D6E-409C-BE32-E72D297353CC}">
              <c16:uniqueId val="{00000000-4704-9C46-8869-6B324FD74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A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Tracker'!$C$39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7-2349-A4F6-483F54046A32}"/>
            </c:ext>
          </c:extLst>
        </c:ser>
        <c:ser>
          <c:idx val="1"/>
          <c:order val="1"/>
          <c:spPr>
            <a:solidFill>
              <a:srgbClr val="8E3B3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Tracker'!$D$39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C7-2349-A4F6-483F54046A32}"/>
            </c:ext>
          </c:extLst>
        </c:ser>
        <c:ser>
          <c:idx val="2"/>
          <c:order val="2"/>
          <c:spPr>
            <a:solidFill>
              <a:srgbClr val="728A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Tracker'!$E$39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C7-2349-A4F6-483F54046A32}"/>
            </c:ext>
          </c:extLst>
        </c:ser>
        <c:ser>
          <c:idx val="3"/>
          <c:order val="3"/>
          <c:spPr>
            <a:solidFill>
              <a:srgbClr val="5E49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Tracker'!$F$39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C7-2349-A4F6-483F54046A32}"/>
            </c:ext>
          </c:extLst>
        </c:ser>
        <c:ser>
          <c:idx val="4"/>
          <c:order val="4"/>
          <c:spPr>
            <a:solidFill>
              <a:srgbClr val="377F9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Tracker'!$G$39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C7-2349-A4F6-483F54046A32}"/>
            </c:ext>
          </c:extLst>
        </c:ser>
        <c:ser>
          <c:idx val="5"/>
          <c:order val="5"/>
          <c:spPr>
            <a:solidFill>
              <a:srgbClr val="B66E3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Tracker'!$H$39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C7-2349-A4F6-483F54046A32}"/>
            </c:ext>
          </c:extLst>
        </c:ser>
        <c:ser>
          <c:idx val="6"/>
          <c:order val="6"/>
          <c:spPr>
            <a:solidFill>
              <a:srgbClr val="436EA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Tracker'!$I$39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C7-2349-A4F6-483F54046A32}"/>
            </c:ext>
          </c:extLst>
        </c:ser>
        <c:ser>
          <c:idx val="7"/>
          <c:order val="7"/>
          <c:spPr>
            <a:solidFill>
              <a:srgbClr val="A444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Tracker'!$J$39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C7-2349-A4F6-483F54046A32}"/>
            </c:ext>
          </c:extLst>
        </c:ser>
        <c:ser>
          <c:idx val="8"/>
          <c:order val="8"/>
          <c:spPr>
            <a:solidFill>
              <a:srgbClr val="84A0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Tracker'!$K$39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C7-2349-A4F6-483F54046A32}"/>
            </c:ext>
          </c:extLst>
        </c:ser>
        <c:ser>
          <c:idx val="9"/>
          <c:order val="9"/>
          <c:spPr>
            <a:solidFill>
              <a:srgbClr val="6D55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Tracker'!$L$39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C7-2349-A4F6-483F54046A32}"/>
            </c:ext>
          </c:extLst>
        </c:ser>
        <c:ser>
          <c:idx val="10"/>
          <c:order val="10"/>
          <c:spPr>
            <a:solidFill>
              <a:srgbClr val="4093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Tracker'!$M$39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C7-2349-A4F6-483F54046A32}"/>
            </c:ext>
          </c:extLst>
        </c:ser>
        <c:ser>
          <c:idx val="11"/>
          <c:order val="11"/>
          <c:spPr>
            <a:solidFill>
              <a:srgbClr val="D3803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Tracker'!$N$39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BC7-2349-A4F6-483F54046A32}"/>
            </c:ext>
          </c:extLst>
        </c:ser>
        <c:ser>
          <c:idx val="12"/>
          <c:order val="12"/>
          <c:spPr>
            <a:solidFill>
              <a:srgbClr val="4B7B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Tracker'!$O$39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BC7-2349-A4F6-483F54046A32}"/>
            </c:ext>
          </c:extLst>
        </c:ser>
        <c:ser>
          <c:idx val="13"/>
          <c:order val="13"/>
          <c:spPr>
            <a:solidFill>
              <a:srgbClr val="B74C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Tracker'!$P$39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BC7-2349-A4F6-483F54046A32}"/>
            </c:ext>
          </c:extLst>
        </c:ser>
        <c:ser>
          <c:idx val="14"/>
          <c:order val="14"/>
          <c:spPr>
            <a:solidFill>
              <a:srgbClr val="94B25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Tracker'!$Q$39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C7-2349-A4F6-483F54046A32}"/>
            </c:ext>
          </c:extLst>
        </c:ser>
        <c:ser>
          <c:idx val="15"/>
          <c:order val="15"/>
          <c:spPr>
            <a:solidFill>
              <a:srgbClr val="7A5F9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Tracker'!$R$39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BC7-2349-A4F6-483F54046A32}"/>
            </c:ext>
          </c:extLst>
        </c:ser>
        <c:ser>
          <c:idx val="16"/>
          <c:order val="16"/>
          <c:spPr>
            <a:solidFill>
              <a:srgbClr val="47A4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Tracker'!$S$39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BC7-2349-A4F6-483F54046A32}"/>
            </c:ext>
          </c:extLst>
        </c:ser>
        <c:ser>
          <c:idx val="17"/>
          <c:order val="17"/>
          <c:spPr>
            <a:solidFill>
              <a:srgbClr val="EB8F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Tracker'!$T$39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BC7-2349-A4F6-483F54046A32}"/>
            </c:ext>
          </c:extLst>
        </c:ser>
        <c:ser>
          <c:idx val="18"/>
          <c:order val="18"/>
          <c:spPr>
            <a:solidFill>
              <a:srgbClr val="7394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Tracker'!$U$39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BC7-2349-A4F6-483F54046A32}"/>
            </c:ext>
          </c:extLst>
        </c:ser>
        <c:ser>
          <c:idx val="19"/>
          <c:order val="19"/>
          <c:spPr>
            <a:solidFill>
              <a:srgbClr val="C7737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Tracker'!$V$39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BC7-2349-A4F6-483F54046A32}"/>
            </c:ext>
          </c:extLst>
        </c:ser>
        <c:ser>
          <c:idx val="20"/>
          <c:order val="20"/>
          <c:spPr>
            <a:solidFill>
              <a:srgbClr val="A8C3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Tracker'!$W$39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BC7-2349-A4F6-483F54046A32}"/>
            </c:ext>
          </c:extLst>
        </c:ser>
        <c:ser>
          <c:idx val="21"/>
          <c:order val="21"/>
          <c:spPr>
            <a:solidFill>
              <a:srgbClr val="937FA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Tracker'!$X$39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BC7-2349-A4F6-483F54046A32}"/>
            </c:ext>
          </c:extLst>
        </c:ser>
        <c:ser>
          <c:idx val="22"/>
          <c:order val="22"/>
          <c:spPr>
            <a:solidFill>
              <a:srgbClr val="71B6C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Tracker'!$Y$39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BC7-2349-A4F6-483F54046A32}"/>
            </c:ext>
          </c:extLst>
        </c:ser>
        <c:ser>
          <c:idx val="23"/>
          <c:order val="23"/>
          <c:spPr>
            <a:solidFill>
              <a:srgbClr val="F7A46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Tracker'!$Z$39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BC7-2349-A4F6-483F54046A32}"/>
            </c:ext>
          </c:extLst>
        </c:ser>
        <c:ser>
          <c:idx val="24"/>
          <c:order val="24"/>
          <c:spPr>
            <a:solidFill>
              <a:srgbClr val="A1B3D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Tracker'!$AA$39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C7-2349-A4F6-483F54046A32}"/>
            </c:ext>
          </c:extLst>
        </c:ser>
        <c:ser>
          <c:idx val="25"/>
          <c:order val="25"/>
          <c:spPr>
            <a:solidFill>
              <a:srgbClr val="D5A1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Tracker'!$AB$39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BC7-2349-A4F6-483F54046A32}"/>
            </c:ext>
          </c:extLst>
        </c:ser>
        <c:ser>
          <c:idx val="26"/>
          <c:order val="26"/>
          <c:spPr>
            <a:solidFill>
              <a:srgbClr val="C0D2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Tracker'!$AC$39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BC7-2349-A4F6-483F54046A32}"/>
            </c:ext>
          </c:extLst>
        </c:ser>
        <c:ser>
          <c:idx val="27"/>
          <c:order val="27"/>
          <c:spPr>
            <a:solidFill>
              <a:srgbClr val="B3A7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Tracker'!$AD$39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BC7-2349-A4F6-483F54046A32}"/>
            </c:ext>
          </c:extLst>
        </c:ser>
        <c:ser>
          <c:idx val="28"/>
          <c:order val="28"/>
          <c:spPr>
            <a:solidFill>
              <a:srgbClr val="9FC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Tracker'!$AE$39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BC7-2349-A4F6-483F54046A32}"/>
            </c:ext>
          </c:extLst>
        </c:ser>
        <c:ser>
          <c:idx val="29"/>
          <c:order val="29"/>
          <c:spPr>
            <a:solidFill>
              <a:srgbClr val="F9BD9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Tracker'!$AF$39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BC7-2349-A4F6-483F54046A32}"/>
            </c:ext>
          </c:extLst>
        </c:ser>
        <c:ser>
          <c:idx val="30"/>
          <c:order val="30"/>
          <c:spPr>
            <a:solidFill>
              <a:srgbClr val="C2CC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'Habit Tracker'!$AG$39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BC7-2349-A4F6-483F54046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96930"/>
        <c:axId val="54886363"/>
      </c:barChart>
      <c:catAx>
        <c:axId val="145969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886363"/>
        <c:crosses val="autoZero"/>
        <c:auto val="1"/>
        <c:lblAlgn val="ctr"/>
        <c:lblOffset val="100"/>
        <c:noMultiLvlLbl val="0"/>
      </c:catAx>
      <c:valAx>
        <c:axId val="54886363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45969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33</xdr:col>
      <xdr:colOff>18000</xdr:colOff>
      <xdr:row>11</xdr:row>
      <xdr:rowOff>64080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1</xdr:row>
      <xdr:rowOff>0</xdr:rowOff>
    </xdr:from>
    <xdr:to>
      <xdr:col>36</xdr:col>
      <xdr:colOff>158040</xdr:colOff>
      <xdr:row>13</xdr:row>
      <xdr:rowOff>53640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30</xdr:row>
      <xdr:rowOff>0</xdr:rowOff>
    </xdr:from>
    <xdr:to>
      <xdr:col>32</xdr:col>
      <xdr:colOff>17640</xdr:colOff>
      <xdr:row>40</xdr:row>
      <xdr:rowOff>74520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1"/>
  <sheetViews>
    <sheetView showGridLines="0" tabSelected="1" zoomScaleNormal="100" workbookViewId="0">
      <pane xSplit="2" topLeftCell="C1" activePane="topRight" state="frozen"/>
      <selection activeCell="A47" sqref="A47"/>
      <selection pane="topRight" activeCell="B62" sqref="B62"/>
    </sheetView>
  </sheetViews>
  <sheetFormatPr defaultColWidth="8.7421875" defaultRowHeight="15" x14ac:dyDescent="0.2"/>
  <cols>
    <col min="1" max="1" width="25.9609375" customWidth="1"/>
    <col min="2" max="2" width="7.93359375" customWidth="1"/>
    <col min="3" max="33" width="3.359375" customWidth="1"/>
    <col min="34" max="34" width="2.015625" customWidth="1"/>
    <col min="35" max="35" width="9.953125" customWidth="1"/>
    <col min="36" max="37" width="7.93359375" customWidth="1"/>
    <col min="38" max="38" width="11.97265625" customWidth="1"/>
    <col min="53" max="54" width="13.046875" hidden="1" customWidth="1"/>
  </cols>
  <sheetData>
    <row r="1" spans="1:54" x14ac:dyDescent="0.2">
      <c r="A1" s="14" t="s">
        <v>0</v>
      </c>
      <c r="B1" s="14"/>
      <c r="C1" s="14"/>
      <c r="U1" s="13" t="s">
        <v>1</v>
      </c>
      <c r="V1" s="13"/>
      <c r="W1" s="13"/>
      <c r="X1" s="13"/>
      <c r="Y1" s="13"/>
      <c r="Z1" s="13"/>
      <c r="AA1" s="13"/>
      <c r="AB1" s="13"/>
      <c r="BA1" s="15" t="s">
        <v>2</v>
      </c>
      <c r="BB1" s="15">
        <f>SUM(C200:AG200)</f>
        <v>3</v>
      </c>
    </row>
    <row r="2" spans="1:54" x14ac:dyDescent="0.2">
      <c r="A2" s="14"/>
      <c r="B2" s="14"/>
      <c r="C2" s="14"/>
      <c r="V2" s="16"/>
      <c r="BA2" s="15" t="s">
        <v>3</v>
      </c>
      <c r="BB2" s="15">
        <f>(18*31)-BB1</f>
        <v>555</v>
      </c>
    </row>
    <row r="3" spans="1:54" x14ac:dyDescent="0.2">
      <c r="A3" s="12" t="s">
        <v>4</v>
      </c>
      <c r="B3" s="12"/>
      <c r="C3" s="12"/>
      <c r="V3" s="16"/>
    </row>
    <row r="5" spans="1:54" x14ac:dyDescent="0.2">
      <c r="A5" s="11" t="s">
        <v>5</v>
      </c>
      <c r="B5" s="11"/>
      <c r="C5" s="11"/>
    </row>
    <row r="6" spans="1:54" x14ac:dyDescent="0.2">
      <c r="A6" s="17" t="s">
        <v>6</v>
      </c>
      <c r="B6" s="10">
        <v>2025</v>
      </c>
      <c r="C6" s="10"/>
    </row>
    <row r="7" spans="1:54" x14ac:dyDescent="0.2">
      <c r="A7" s="17" t="s">
        <v>7</v>
      </c>
      <c r="B7" s="10" t="s">
        <v>8</v>
      </c>
      <c r="C7" s="10"/>
    </row>
    <row r="15" spans="1:54" x14ac:dyDescent="0.2">
      <c r="U15" s="13" t="s">
        <v>9</v>
      </c>
      <c r="V15" s="13"/>
      <c r="W15" s="13"/>
      <c r="X15" s="13"/>
      <c r="Y15" s="13"/>
      <c r="Z15" s="13"/>
      <c r="AA15" s="13"/>
      <c r="AB15" s="13"/>
    </row>
    <row r="16" spans="1:54" x14ac:dyDescent="0.2">
      <c r="U16" s="9" t="str">
        <f>(INDEX(A47:A64,MATCH(LARGE(AK47:AK64,1),AK47:AK64,0)))&amp;" - "&amp;TEXT(LARGE(AK47:AK64,1),"0%")</f>
        <v>1  Wake Up at Same Time - 10%</v>
      </c>
      <c r="V16" s="9"/>
      <c r="W16" s="9"/>
      <c r="X16" s="9"/>
      <c r="Y16" s="9"/>
      <c r="Z16" s="9"/>
      <c r="AA16" s="9"/>
      <c r="AB16" s="9"/>
    </row>
    <row r="17" spans="1:33" x14ac:dyDescent="0.2">
      <c r="U17" s="8" t="str">
        <f>(INDEX(A47:A64,MATCH(LARGE(AK47:AK64,2),AK47:AK64,0)))&amp;" - "&amp;TEXT(LARGE(AK47:AK64,2),"0%")</f>
        <v>2  Make Your Bed - 0%</v>
      </c>
      <c r="V17" s="8"/>
      <c r="W17" s="8"/>
      <c r="X17" s="8"/>
      <c r="Y17" s="8"/>
      <c r="Z17" s="8"/>
      <c r="AA17" s="8"/>
      <c r="AB17" s="8"/>
    </row>
    <row r="18" spans="1:33" x14ac:dyDescent="0.2">
      <c r="U18" s="9" t="str">
        <f>(INDEX(A47:A64,MATCH(LARGE(AK47:AK64,3),AK47:AK64,0)))&amp;" - "&amp;TEXT(LARGE(AK47:AK64,3),"0%")</f>
        <v>2  Make Your Bed - 0%</v>
      </c>
      <c r="V18" s="9"/>
      <c r="W18" s="9"/>
      <c r="X18" s="9"/>
      <c r="Y18" s="9"/>
      <c r="Z18" s="9"/>
      <c r="AA18" s="9"/>
      <c r="AB18" s="9"/>
    </row>
    <row r="19" spans="1:33" x14ac:dyDescent="0.2">
      <c r="U19" s="8" t="str">
        <f>(INDEX(A47:A64,MATCH(LARGE(AK47:AK64,4),AK47:AK64,0)))&amp;" - "&amp;TEXT(LARGE(AK47:AK64,4),"0%")</f>
        <v>2  Make Your Bed - 0%</v>
      </c>
      <c r="V19" s="8"/>
      <c r="W19" s="8"/>
      <c r="X19" s="8"/>
      <c r="Y19" s="8"/>
      <c r="Z19" s="8"/>
      <c r="AA19" s="8"/>
      <c r="AB19" s="8"/>
    </row>
    <row r="20" spans="1:33" x14ac:dyDescent="0.2">
      <c r="U20" s="9" t="str">
        <f>(INDEX(A47:A64,MATCH(LARGE(AK47:AK64,5),AK47:AK64,0)))&amp;" - "&amp;TEXT(LARGE(AK47:AK64,5),"0%")</f>
        <v>2  Make Your Bed - 0%</v>
      </c>
      <c r="V20" s="9"/>
      <c r="W20" s="9"/>
      <c r="X20" s="9"/>
      <c r="Y20" s="9"/>
      <c r="Z20" s="9"/>
      <c r="AA20" s="9"/>
      <c r="AB20" s="9"/>
    </row>
    <row r="21" spans="1:33" x14ac:dyDescent="0.2">
      <c r="U21" s="8" t="str">
        <f>(INDEX(A47:A64,MATCH(LARGE(AK47:AK64,6),AK47:AK64,0)))&amp;" - "&amp;TEXT(LARGE(AK47:AK64,6),"0%")</f>
        <v>2  Make Your Bed - 0%</v>
      </c>
      <c r="V21" s="8"/>
      <c r="W21" s="8"/>
      <c r="X21" s="8"/>
      <c r="Y21" s="8"/>
      <c r="Z21" s="8"/>
      <c r="AA21" s="8"/>
      <c r="AB21" s="8"/>
    </row>
    <row r="22" spans="1:33" x14ac:dyDescent="0.2">
      <c r="U22" s="9" t="str">
        <f>(INDEX(A47:A64,MATCH(LARGE(AK47:AK64,7),AK47:AK64,0)))&amp;" - "&amp;TEXT(LARGE(AK47:AK64,7),"0%")</f>
        <v>2  Make Your Bed - 0%</v>
      </c>
      <c r="V22" s="9"/>
      <c r="W22" s="9"/>
      <c r="X22" s="9"/>
      <c r="Y22" s="9"/>
      <c r="Z22" s="9"/>
      <c r="AA22" s="9"/>
      <c r="AB22" s="9"/>
    </row>
    <row r="23" spans="1:33" x14ac:dyDescent="0.2">
      <c r="U23" s="8" t="str">
        <f>(INDEX(A47:A64,MATCH(LARGE(AK47:AK64,8),AK47:AK64,0)))&amp;" - "&amp;TEXT(LARGE(AK47:AK64,8),"0%")</f>
        <v>2  Make Your Bed - 0%</v>
      </c>
      <c r="V23" s="8"/>
      <c r="W23" s="8"/>
      <c r="X23" s="8"/>
      <c r="Y23" s="8"/>
      <c r="Z23" s="8"/>
      <c r="AA23" s="8"/>
      <c r="AB23" s="8"/>
    </row>
    <row r="24" spans="1:33" x14ac:dyDescent="0.2">
      <c r="U24" s="9" t="str">
        <f>(INDEX(A47:A64,MATCH(LARGE(AK47:AK64,9),AK47:AK64,0)))&amp;" - "&amp;TEXT(LARGE(AK47:AK64,9),"0%")</f>
        <v>2  Make Your Bed - 0%</v>
      </c>
      <c r="V24" s="9"/>
      <c r="W24" s="9"/>
      <c r="X24" s="9"/>
      <c r="Y24" s="9"/>
      <c r="Z24" s="9"/>
      <c r="AA24" s="9"/>
      <c r="AB24" s="9"/>
    </row>
    <row r="25" spans="1:33" x14ac:dyDescent="0.2">
      <c r="U25" s="8" t="str">
        <f>(INDEX(A47:A64,MATCH(LARGE(AK47:AK64,10),AK47:AK64,0)))&amp;" - "&amp;TEXT(LARGE(AK47:AK64,10),"0%")</f>
        <v>2  Make Your Bed - 0%</v>
      </c>
      <c r="V25" s="8"/>
      <c r="W25" s="8"/>
      <c r="X25" s="8"/>
      <c r="Y25" s="8"/>
      <c r="Z25" s="8"/>
      <c r="AA25" s="8"/>
      <c r="AB25" s="8"/>
    </row>
    <row r="27" spans="1:33" ht="15" customHeight="1" x14ac:dyDescent="0.2">
      <c r="A27" s="7" t="s">
        <v>10</v>
      </c>
      <c r="B27" s="7"/>
    </row>
    <row r="28" spans="1:33" x14ac:dyDescent="0.2">
      <c r="A28" s="7"/>
      <c r="B28" s="7"/>
      <c r="C28" s="6" t="s">
        <v>11</v>
      </c>
      <c r="D28" s="6"/>
      <c r="E28" s="6"/>
      <c r="F28" s="6"/>
      <c r="G28" s="6"/>
      <c r="H28" s="6"/>
      <c r="I28" s="6"/>
      <c r="J28" s="5" t="s">
        <v>12</v>
      </c>
      <c r="K28" s="5"/>
      <c r="L28" s="5"/>
      <c r="M28" s="5"/>
      <c r="N28" s="5"/>
      <c r="O28" s="5"/>
      <c r="P28" s="5"/>
      <c r="Q28" s="4" t="s">
        <v>13</v>
      </c>
      <c r="R28" s="4"/>
      <c r="S28" s="4"/>
      <c r="T28" s="4"/>
      <c r="U28" s="4"/>
      <c r="V28" s="4"/>
      <c r="W28" s="4"/>
      <c r="X28" s="3" t="s">
        <v>14</v>
      </c>
      <c r="Y28" s="3"/>
      <c r="Z28" s="3"/>
      <c r="AA28" s="3"/>
      <c r="AB28" s="3"/>
      <c r="AC28" s="3"/>
      <c r="AD28" s="3"/>
      <c r="AE28" s="2" t="s">
        <v>15</v>
      </c>
      <c r="AF28" s="2"/>
      <c r="AG28" s="2"/>
    </row>
    <row r="29" spans="1:33" x14ac:dyDescent="0.2">
      <c r="A29" s="7"/>
      <c r="B29" s="7"/>
      <c r="C29" s="18" t="s">
        <v>16</v>
      </c>
      <c r="D29" s="18" t="s">
        <v>17</v>
      </c>
      <c r="E29" s="18" t="s">
        <v>18</v>
      </c>
      <c r="F29" s="18" t="s">
        <v>19</v>
      </c>
      <c r="G29" s="18" t="s">
        <v>20</v>
      </c>
      <c r="H29" s="18" t="s">
        <v>21</v>
      </c>
      <c r="I29" s="18" t="s">
        <v>22</v>
      </c>
      <c r="J29" s="19" t="s">
        <v>16</v>
      </c>
      <c r="K29" s="19" t="s">
        <v>17</v>
      </c>
      <c r="L29" s="19" t="s">
        <v>18</v>
      </c>
      <c r="M29" s="19" t="s">
        <v>19</v>
      </c>
      <c r="N29" s="19" t="s">
        <v>20</v>
      </c>
      <c r="O29" s="19" t="s">
        <v>21</v>
      </c>
      <c r="P29" s="19" t="s">
        <v>22</v>
      </c>
      <c r="Q29" s="20" t="s">
        <v>16</v>
      </c>
      <c r="R29" s="20" t="s">
        <v>17</v>
      </c>
      <c r="S29" s="20" t="s">
        <v>18</v>
      </c>
      <c r="T29" s="20" t="s">
        <v>19</v>
      </c>
      <c r="U29" s="20" t="s">
        <v>20</v>
      </c>
      <c r="V29" s="20" t="s">
        <v>21</v>
      </c>
      <c r="W29" s="20" t="s">
        <v>22</v>
      </c>
      <c r="X29" s="21" t="s">
        <v>16</v>
      </c>
      <c r="Y29" s="21" t="s">
        <v>17</v>
      </c>
      <c r="Z29" s="21" t="s">
        <v>18</v>
      </c>
      <c r="AA29" s="21" t="s">
        <v>19</v>
      </c>
      <c r="AB29" s="21" t="s">
        <v>20</v>
      </c>
      <c r="AC29" s="21" t="s">
        <v>21</v>
      </c>
      <c r="AD29" s="21" t="s">
        <v>22</v>
      </c>
      <c r="AE29" s="22" t="s">
        <v>16</v>
      </c>
      <c r="AF29" s="22" t="s">
        <v>17</v>
      </c>
      <c r="AG29" s="22" t="s">
        <v>18</v>
      </c>
    </row>
    <row r="30" spans="1:33" x14ac:dyDescent="0.2">
      <c r="A30" s="7"/>
      <c r="B30" s="7"/>
      <c r="C30" s="23">
        <v>1</v>
      </c>
      <c r="D30" s="23">
        <v>2</v>
      </c>
      <c r="E30" s="23">
        <v>3</v>
      </c>
      <c r="F30" s="23">
        <v>4</v>
      </c>
      <c r="G30" s="23">
        <v>5</v>
      </c>
      <c r="H30" s="23">
        <v>6</v>
      </c>
      <c r="I30" s="23">
        <v>7</v>
      </c>
      <c r="J30" s="24">
        <v>8</v>
      </c>
      <c r="K30" s="24">
        <v>9</v>
      </c>
      <c r="L30" s="24">
        <v>10</v>
      </c>
      <c r="M30" s="24">
        <v>11</v>
      </c>
      <c r="N30" s="24">
        <v>12</v>
      </c>
      <c r="O30" s="24">
        <v>13</v>
      </c>
      <c r="P30" s="24">
        <v>14</v>
      </c>
      <c r="Q30" s="25">
        <v>15</v>
      </c>
      <c r="R30" s="25">
        <v>16</v>
      </c>
      <c r="S30" s="25">
        <v>17</v>
      </c>
      <c r="T30" s="25">
        <v>18</v>
      </c>
      <c r="U30" s="25">
        <v>19</v>
      </c>
      <c r="V30" s="25">
        <v>20</v>
      </c>
      <c r="W30" s="25">
        <v>21</v>
      </c>
      <c r="X30" s="26">
        <v>22</v>
      </c>
      <c r="Y30" s="26">
        <v>23</v>
      </c>
      <c r="Z30" s="26">
        <v>24</v>
      </c>
      <c r="AA30" s="26">
        <v>25</v>
      </c>
      <c r="AB30" s="26">
        <v>26</v>
      </c>
      <c r="AC30" s="26">
        <v>27</v>
      </c>
      <c r="AD30" s="26">
        <v>28</v>
      </c>
      <c r="AE30" s="27">
        <v>29</v>
      </c>
      <c r="AF30" s="27">
        <v>30</v>
      </c>
      <c r="AG30" s="27">
        <v>31</v>
      </c>
    </row>
    <row r="31" spans="1:33" x14ac:dyDescent="0.2">
      <c r="A31" s="7"/>
      <c r="B31" s="7"/>
    </row>
    <row r="32" spans="1:33" x14ac:dyDescent="0.2">
      <c r="A32" s="7"/>
      <c r="B32" s="7"/>
    </row>
    <row r="33" spans="1:38" x14ac:dyDescent="0.2">
      <c r="A33" s="7"/>
      <c r="B33" s="7"/>
    </row>
    <row r="34" spans="1:38" x14ac:dyDescent="0.2">
      <c r="A34" s="7"/>
      <c r="B34" s="7"/>
    </row>
    <row r="35" spans="1:38" x14ac:dyDescent="0.2">
      <c r="A35" s="7"/>
      <c r="B35" s="7"/>
    </row>
    <row r="36" spans="1:38" x14ac:dyDescent="0.2">
      <c r="A36" s="7"/>
      <c r="B36" s="7"/>
    </row>
    <row r="37" spans="1:38" x14ac:dyDescent="0.2">
      <c r="A37" s="7"/>
      <c r="B37" s="7"/>
    </row>
    <row r="38" spans="1:38" x14ac:dyDescent="0.2">
      <c r="A38" s="7"/>
      <c r="B38" s="7"/>
    </row>
    <row r="39" spans="1:38" x14ac:dyDescent="0.2">
      <c r="A39" s="1" t="s">
        <v>23</v>
      </c>
      <c r="B39" s="1"/>
      <c r="C39" s="28">
        <f>C200</f>
        <v>1</v>
      </c>
      <c r="D39" s="28">
        <f>D200</f>
        <v>1</v>
      </c>
      <c r="E39" s="28">
        <f>E200</f>
        <v>0</v>
      </c>
      <c r="F39" s="28">
        <f>F200</f>
        <v>1</v>
      </c>
      <c r="G39" s="28">
        <f>G200</f>
        <v>0</v>
      </c>
      <c r="H39" s="28">
        <f>H200</f>
        <v>0</v>
      </c>
      <c r="I39" s="28">
        <f>I200</f>
        <v>0</v>
      </c>
      <c r="J39" s="29">
        <f>J200</f>
        <v>0</v>
      </c>
      <c r="K39" s="29">
        <f>K200</f>
        <v>0</v>
      </c>
      <c r="L39" s="29">
        <f>L200</f>
        <v>0</v>
      </c>
      <c r="M39" s="29">
        <f>M200</f>
        <v>0</v>
      </c>
      <c r="N39" s="29">
        <f>N200</f>
        <v>0</v>
      </c>
      <c r="O39" s="29">
        <f>O200</f>
        <v>0</v>
      </c>
      <c r="P39" s="29">
        <f>P200</f>
        <v>0</v>
      </c>
      <c r="Q39" s="30">
        <f>Q200</f>
        <v>0</v>
      </c>
      <c r="R39" s="30">
        <f>R200</f>
        <v>0</v>
      </c>
      <c r="S39" s="30">
        <f>S200</f>
        <v>0</v>
      </c>
      <c r="T39" s="30">
        <f>T200</f>
        <v>0</v>
      </c>
      <c r="U39" s="30">
        <f>U200</f>
        <v>0</v>
      </c>
      <c r="V39" s="30">
        <f>V200</f>
        <v>0</v>
      </c>
      <c r="W39" s="30">
        <f>W200</f>
        <v>0</v>
      </c>
      <c r="X39" s="31">
        <f>X200</f>
        <v>0</v>
      </c>
      <c r="Y39" s="31">
        <f>Y200</f>
        <v>0</v>
      </c>
      <c r="Z39" s="31">
        <f>Z200</f>
        <v>0</v>
      </c>
      <c r="AA39" s="31">
        <f>AA200</f>
        <v>0</v>
      </c>
      <c r="AB39" s="31">
        <f>AB200</f>
        <v>0</v>
      </c>
      <c r="AC39" s="31">
        <f>AC200</f>
        <v>0</v>
      </c>
      <c r="AD39" s="31">
        <f>AD200</f>
        <v>0</v>
      </c>
      <c r="AE39" s="32">
        <f>AE200</f>
        <v>0</v>
      </c>
      <c r="AF39" s="32">
        <f>AF200</f>
        <v>0</v>
      </c>
      <c r="AG39" s="32">
        <f>AG200</f>
        <v>0</v>
      </c>
    </row>
    <row r="40" spans="1:38" x14ac:dyDescent="0.2">
      <c r="A40" s="1" t="s">
        <v>24</v>
      </c>
      <c r="B40" s="1"/>
      <c r="C40" s="28">
        <v>18</v>
      </c>
      <c r="D40" s="28">
        <v>18</v>
      </c>
      <c r="E40" s="28">
        <v>18</v>
      </c>
      <c r="F40" s="28">
        <v>18</v>
      </c>
      <c r="G40" s="28">
        <v>18</v>
      </c>
      <c r="H40" s="28">
        <v>18</v>
      </c>
      <c r="I40" s="28">
        <v>18</v>
      </c>
      <c r="J40" s="29">
        <v>18</v>
      </c>
      <c r="K40" s="29">
        <v>18</v>
      </c>
      <c r="L40" s="29">
        <v>18</v>
      </c>
      <c r="M40" s="29">
        <v>18</v>
      </c>
      <c r="N40" s="29">
        <v>18</v>
      </c>
      <c r="O40" s="29">
        <v>18</v>
      </c>
      <c r="P40" s="29">
        <v>18</v>
      </c>
      <c r="Q40" s="30">
        <v>18</v>
      </c>
      <c r="R40" s="30">
        <v>18</v>
      </c>
      <c r="S40" s="30">
        <v>18</v>
      </c>
      <c r="T40" s="30">
        <v>18</v>
      </c>
      <c r="U40" s="30">
        <v>18</v>
      </c>
      <c r="V40" s="30">
        <v>18</v>
      </c>
      <c r="W40" s="30">
        <v>18</v>
      </c>
      <c r="X40" s="31">
        <v>18</v>
      </c>
      <c r="Y40" s="31">
        <v>18</v>
      </c>
      <c r="Z40" s="31">
        <v>18</v>
      </c>
      <c r="AA40" s="31">
        <v>18</v>
      </c>
      <c r="AB40" s="31">
        <v>18</v>
      </c>
      <c r="AC40" s="31">
        <v>18</v>
      </c>
      <c r="AD40" s="31">
        <v>18</v>
      </c>
      <c r="AE40" s="32">
        <v>18</v>
      </c>
      <c r="AF40" s="32">
        <v>18</v>
      </c>
      <c r="AG40" s="32">
        <v>18</v>
      </c>
    </row>
    <row r="41" spans="1:38" x14ac:dyDescent="0.2">
      <c r="A41" s="1" t="s">
        <v>25</v>
      </c>
      <c r="B41" s="1"/>
      <c r="C41" s="28">
        <f>C40-C39</f>
        <v>17</v>
      </c>
      <c r="D41" s="28">
        <f>D40-D39</f>
        <v>17</v>
      </c>
      <c r="E41" s="28">
        <f>E40-E39</f>
        <v>18</v>
      </c>
      <c r="F41" s="28">
        <f>F40-F39</f>
        <v>17</v>
      </c>
      <c r="G41" s="28">
        <f>G40-G39</f>
        <v>18</v>
      </c>
      <c r="H41" s="28">
        <f>H40-H39</f>
        <v>18</v>
      </c>
      <c r="I41" s="28">
        <f>I40-I39</f>
        <v>18</v>
      </c>
      <c r="J41" s="29">
        <f>J40-J39</f>
        <v>18</v>
      </c>
      <c r="K41" s="29">
        <f>K40-K39</f>
        <v>18</v>
      </c>
      <c r="L41" s="29">
        <f>L40-L39</f>
        <v>18</v>
      </c>
      <c r="M41" s="29">
        <f>M40-M39</f>
        <v>18</v>
      </c>
      <c r="N41" s="29">
        <f>N40-N39</f>
        <v>18</v>
      </c>
      <c r="O41" s="29">
        <f>O40-O39</f>
        <v>18</v>
      </c>
      <c r="P41" s="29">
        <f>P40-P39</f>
        <v>18</v>
      </c>
      <c r="Q41" s="30">
        <f>Q40-Q39</f>
        <v>18</v>
      </c>
      <c r="R41" s="30">
        <f>R40-R39</f>
        <v>18</v>
      </c>
      <c r="S41" s="30">
        <f>S40-S39</f>
        <v>18</v>
      </c>
      <c r="T41" s="30">
        <f>T40-T39</f>
        <v>18</v>
      </c>
      <c r="U41" s="30">
        <f>U40-U39</f>
        <v>18</v>
      </c>
      <c r="V41" s="30">
        <f>V40-V39</f>
        <v>18</v>
      </c>
      <c r="W41" s="30">
        <f>W40-W39</f>
        <v>18</v>
      </c>
      <c r="X41" s="31">
        <f>X40-X39</f>
        <v>18</v>
      </c>
      <c r="Y41" s="31">
        <f>Y40-Y39</f>
        <v>18</v>
      </c>
      <c r="Z41" s="31">
        <f>Z40-Z39</f>
        <v>18</v>
      </c>
      <c r="AA41" s="31">
        <f>AA40-AA39</f>
        <v>18</v>
      </c>
      <c r="AB41" s="31">
        <f>AB40-AB39</f>
        <v>18</v>
      </c>
      <c r="AC41" s="31">
        <f>AC40-AC39</f>
        <v>18</v>
      </c>
      <c r="AD41" s="31">
        <f>AD40-AD39</f>
        <v>18</v>
      </c>
      <c r="AE41" s="32">
        <f>AE40-AE39</f>
        <v>18</v>
      </c>
      <c r="AF41" s="32">
        <f>AF40-AF39</f>
        <v>18</v>
      </c>
      <c r="AG41" s="32">
        <f>AG40-AG39</f>
        <v>18</v>
      </c>
    </row>
    <row r="42" spans="1:38" x14ac:dyDescent="0.2">
      <c r="A42" s="1" t="s">
        <v>26</v>
      </c>
      <c r="B42" s="1"/>
      <c r="C42" s="47" t="str">
        <f>TEXT(C39+D39+E39+F39+G39+H39+I39,"0")&amp;"/126  ("&amp;TEXT((C39+D39+E39+F39+G39+H39+I39)/126,"0.0%")&amp;")"</f>
        <v>3/126  (2.4%)</v>
      </c>
      <c r="D42" s="47"/>
      <c r="E42" s="47"/>
      <c r="F42" s="47"/>
      <c r="G42" s="47"/>
      <c r="H42" s="47"/>
      <c r="I42" s="47"/>
      <c r="J42" s="48" t="str">
        <f>TEXT(J39+K39+L39+M39+N39+O39+P39,"0")&amp;"/126  ("&amp;TEXT((J39+K39+L39+M39+N39+O39+P39)/126,"0.0%")&amp;")"</f>
        <v>0/126  (0.0%)</v>
      </c>
      <c r="K42" s="48"/>
      <c r="L42" s="48"/>
      <c r="M42" s="48"/>
      <c r="N42" s="48"/>
      <c r="O42" s="48"/>
      <c r="P42" s="48"/>
      <c r="Q42" s="49" t="str">
        <f>TEXT(Q39+R39+S39+T39+U39+V39+W39,"0")&amp;"/126  ("&amp;TEXT((Q39+R39+S39+T39+U39+V39+W39)/126,"0.0%")&amp;")"</f>
        <v>0/126  (0.0%)</v>
      </c>
      <c r="R42" s="49"/>
      <c r="S42" s="49"/>
      <c r="T42" s="49"/>
      <c r="U42" s="49"/>
      <c r="V42" s="49"/>
      <c r="W42" s="49"/>
      <c r="X42" s="50" t="str">
        <f>TEXT(X39+Y39+Z39+AA39+AB39+AC39+AD39,"0")&amp;"/126  ("&amp;TEXT((X39+Y39+Z39+AA39+AB39+AC39+AD39)/126,"0.0%")&amp;")"</f>
        <v>0/126  (0.0%)</v>
      </c>
      <c r="Y42" s="50"/>
      <c r="Z42" s="50"/>
      <c r="AA42" s="50"/>
      <c r="AB42" s="50"/>
      <c r="AC42" s="50"/>
      <c r="AD42" s="50"/>
      <c r="AE42" s="51" t="str">
        <f>TEXT(AE39+AF39+AG39,"0")&amp;"/54  ("&amp;TEXT((AE39+AF39+AG39)/54,"0.0%")&amp;")"</f>
        <v>0/54  (0.0%)</v>
      </c>
      <c r="AF42" s="51"/>
      <c r="AG42" s="51"/>
    </row>
    <row r="43" spans="1:38" ht="15" customHeight="1" x14ac:dyDescent="0.2">
      <c r="A43" s="52" t="s">
        <v>27</v>
      </c>
      <c r="B43" s="53" t="s">
        <v>28</v>
      </c>
      <c r="C43" s="6" t="s">
        <v>11</v>
      </c>
      <c r="D43" s="6"/>
      <c r="E43" s="6"/>
      <c r="F43" s="6"/>
      <c r="G43" s="6"/>
      <c r="H43" s="6"/>
      <c r="I43" s="6"/>
      <c r="J43" s="5" t="s">
        <v>12</v>
      </c>
      <c r="K43" s="5"/>
      <c r="L43" s="5"/>
      <c r="M43" s="5"/>
      <c r="N43" s="5"/>
      <c r="O43" s="5"/>
      <c r="P43" s="5"/>
      <c r="Q43" s="4" t="s">
        <v>13</v>
      </c>
      <c r="R43" s="4"/>
      <c r="S43" s="4"/>
      <c r="T43" s="4"/>
      <c r="U43" s="4"/>
      <c r="V43" s="4"/>
      <c r="W43" s="4"/>
      <c r="X43" s="3" t="s">
        <v>14</v>
      </c>
      <c r="Y43" s="3"/>
      <c r="Z43" s="3"/>
      <c r="AA43" s="3"/>
      <c r="AB43" s="3"/>
      <c r="AC43" s="3"/>
      <c r="AD43" s="3"/>
      <c r="AE43" s="2" t="s">
        <v>15</v>
      </c>
      <c r="AF43" s="2"/>
      <c r="AG43" s="2"/>
      <c r="AI43" s="54" t="s">
        <v>23</v>
      </c>
      <c r="AJ43" s="54" t="s">
        <v>25</v>
      </c>
      <c r="AK43" s="54" t="s">
        <v>29</v>
      </c>
      <c r="AL43" s="54" t="s">
        <v>30</v>
      </c>
    </row>
    <row r="44" spans="1:38" x14ac:dyDescent="0.2">
      <c r="A44" s="52"/>
      <c r="B44" s="52"/>
      <c r="C44" s="18" t="s">
        <v>16</v>
      </c>
      <c r="D44" s="18" t="s">
        <v>17</v>
      </c>
      <c r="E44" s="18" t="s">
        <v>18</v>
      </c>
      <c r="F44" s="18" t="s">
        <v>19</v>
      </c>
      <c r="G44" s="18" t="s">
        <v>20</v>
      </c>
      <c r="H44" s="18" t="s">
        <v>21</v>
      </c>
      <c r="I44" s="18" t="s">
        <v>22</v>
      </c>
      <c r="J44" s="19" t="s">
        <v>16</v>
      </c>
      <c r="K44" s="19" t="s">
        <v>17</v>
      </c>
      <c r="L44" s="19" t="s">
        <v>18</v>
      </c>
      <c r="M44" s="19" t="s">
        <v>19</v>
      </c>
      <c r="N44" s="19" t="s">
        <v>20</v>
      </c>
      <c r="O44" s="19" t="s">
        <v>21</v>
      </c>
      <c r="P44" s="19" t="s">
        <v>22</v>
      </c>
      <c r="Q44" s="20" t="s">
        <v>16</v>
      </c>
      <c r="R44" s="20" t="s">
        <v>17</v>
      </c>
      <c r="S44" s="20" t="s">
        <v>18</v>
      </c>
      <c r="T44" s="20" t="s">
        <v>19</v>
      </c>
      <c r="U44" s="20" t="s">
        <v>20</v>
      </c>
      <c r="V44" s="20" t="s">
        <v>21</v>
      </c>
      <c r="W44" s="20" t="s">
        <v>22</v>
      </c>
      <c r="X44" s="21" t="s">
        <v>16</v>
      </c>
      <c r="Y44" s="21" t="s">
        <v>17</v>
      </c>
      <c r="Z44" s="21" t="s">
        <v>18</v>
      </c>
      <c r="AA44" s="21" t="s">
        <v>19</v>
      </c>
      <c r="AB44" s="21" t="s">
        <v>20</v>
      </c>
      <c r="AC44" s="21" t="s">
        <v>21</v>
      </c>
      <c r="AD44" s="21" t="s">
        <v>22</v>
      </c>
      <c r="AE44" s="22" t="s">
        <v>16</v>
      </c>
      <c r="AF44" s="22" t="s">
        <v>17</v>
      </c>
      <c r="AG44" s="22" t="s">
        <v>18</v>
      </c>
      <c r="AI44" s="54"/>
      <c r="AJ44" s="54"/>
      <c r="AK44" s="54"/>
      <c r="AL44" s="54"/>
    </row>
    <row r="45" spans="1:38" x14ac:dyDescent="0.2">
      <c r="A45" s="52"/>
      <c r="B45" s="52"/>
      <c r="C45" s="23">
        <v>1</v>
      </c>
      <c r="D45" s="23">
        <v>2</v>
      </c>
      <c r="E45" s="23">
        <v>3</v>
      </c>
      <c r="F45" s="23">
        <v>4</v>
      </c>
      <c r="G45" s="23">
        <v>5</v>
      </c>
      <c r="H45" s="23">
        <v>6</v>
      </c>
      <c r="I45" s="23">
        <v>7</v>
      </c>
      <c r="J45" s="24">
        <v>8</v>
      </c>
      <c r="K45" s="24">
        <v>9</v>
      </c>
      <c r="L45" s="24">
        <v>10</v>
      </c>
      <c r="M45" s="24">
        <v>11</v>
      </c>
      <c r="N45" s="24">
        <v>12</v>
      </c>
      <c r="O45" s="24">
        <v>13</v>
      </c>
      <c r="P45" s="24">
        <v>14</v>
      </c>
      <c r="Q45" s="25">
        <v>15</v>
      </c>
      <c r="R45" s="25">
        <v>16</v>
      </c>
      <c r="S45" s="25">
        <v>17</v>
      </c>
      <c r="T45" s="25">
        <v>18</v>
      </c>
      <c r="U45" s="25">
        <v>19</v>
      </c>
      <c r="V45" s="25">
        <v>20</v>
      </c>
      <c r="W45" s="25">
        <v>21</v>
      </c>
      <c r="X45" s="26">
        <v>22</v>
      </c>
      <c r="Y45" s="26">
        <v>23</v>
      </c>
      <c r="Z45" s="26">
        <v>24</v>
      </c>
      <c r="AA45" s="26">
        <v>25</v>
      </c>
      <c r="AB45" s="26">
        <v>26</v>
      </c>
      <c r="AC45" s="26">
        <v>27</v>
      </c>
      <c r="AD45" s="26">
        <v>28</v>
      </c>
      <c r="AE45" s="27">
        <v>29</v>
      </c>
      <c r="AF45" s="27">
        <v>30</v>
      </c>
      <c r="AG45" s="27">
        <v>31</v>
      </c>
      <c r="AI45" s="54"/>
      <c r="AJ45" s="54"/>
      <c r="AK45" s="54"/>
      <c r="AL45" s="54"/>
    </row>
    <row r="47" spans="1:38" x14ac:dyDescent="0.2">
      <c r="A47" s="33" t="s">
        <v>31</v>
      </c>
      <c r="B47" s="34">
        <v>31</v>
      </c>
      <c r="C47" s="35">
        <v>1</v>
      </c>
      <c r="D47" s="35">
        <v>1</v>
      </c>
      <c r="E47" s="35"/>
      <c r="F47" s="35">
        <v>1</v>
      </c>
      <c r="G47" s="35"/>
      <c r="H47" s="35"/>
      <c r="I47" s="35"/>
      <c r="J47" s="36"/>
      <c r="K47" s="36"/>
      <c r="L47" s="36"/>
      <c r="M47" s="36"/>
      <c r="N47" s="36"/>
      <c r="O47" s="36"/>
      <c r="P47" s="36"/>
      <c r="Q47" s="37"/>
      <c r="R47" s="37"/>
      <c r="S47" s="37"/>
      <c r="T47" s="37"/>
      <c r="U47" s="37"/>
      <c r="V47" s="37"/>
      <c r="W47" s="37"/>
      <c r="X47" s="38"/>
      <c r="Y47" s="38"/>
      <c r="Z47" s="38"/>
      <c r="AA47" s="38"/>
      <c r="AB47" s="38"/>
      <c r="AC47" s="38"/>
      <c r="AD47" s="38"/>
      <c r="AE47" s="39"/>
      <c r="AF47" s="39"/>
      <c r="AG47" s="39"/>
      <c r="AI47" s="40">
        <f>SUM(C47:AG47)</f>
        <v>3</v>
      </c>
      <c r="AJ47" s="40">
        <f>B47-AI47</f>
        <v>28</v>
      </c>
      <c r="AK47" s="41">
        <f>IFERROR(AI47/B47,0)</f>
        <v>9.6774193548387094E-2</v>
      </c>
      <c r="AL47" s="41">
        <f>AK47</f>
        <v>9.6774193548387094E-2</v>
      </c>
    </row>
    <row r="48" spans="1:38" x14ac:dyDescent="0.2">
      <c r="A48" s="42" t="s">
        <v>32</v>
      </c>
      <c r="B48" s="43">
        <v>31</v>
      </c>
      <c r="C48" s="35"/>
      <c r="D48" s="35"/>
      <c r="E48" s="35"/>
      <c r="F48" s="35"/>
      <c r="G48" s="35"/>
      <c r="H48" s="35"/>
      <c r="I48" s="35"/>
      <c r="J48" s="36"/>
      <c r="K48" s="36"/>
      <c r="L48" s="36"/>
      <c r="M48" s="36"/>
      <c r="N48" s="36"/>
      <c r="O48" s="36"/>
      <c r="P48" s="36"/>
      <c r="Q48" s="37"/>
      <c r="R48" s="37"/>
      <c r="S48" s="37"/>
      <c r="T48" s="37"/>
      <c r="U48" s="37"/>
      <c r="V48" s="37"/>
      <c r="W48" s="37"/>
      <c r="X48" s="38"/>
      <c r="Y48" s="38"/>
      <c r="Z48" s="38"/>
      <c r="AA48" s="38"/>
      <c r="AB48" s="38"/>
      <c r="AC48" s="38"/>
      <c r="AD48" s="38"/>
      <c r="AE48" s="39"/>
      <c r="AF48" s="39"/>
      <c r="AG48" s="39"/>
      <c r="AI48" s="44">
        <f>SUM(C48:AG48)</f>
        <v>0</v>
      </c>
      <c r="AJ48" s="44">
        <f>B48-AI48</f>
        <v>31</v>
      </c>
      <c r="AK48" s="45">
        <f>IFERROR(AI48/B48,0)</f>
        <v>0</v>
      </c>
      <c r="AL48" s="45">
        <f>AK48</f>
        <v>0</v>
      </c>
    </row>
    <row r="49" spans="1:38" x14ac:dyDescent="0.2">
      <c r="A49" s="33" t="s">
        <v>33</v>
      </c>
      <c r="B49" s="34">
        <v>31</v>
      </c>
      <c r="C49" s="35"/>
      <c r="D49" s="35"/>
      <c r="E49" s="35"/>
      <c r="F49" s="35"/>
      <c r="G49" s="35"/>
      <c r="H49" s="35"/>
      <c r="I49" s="35"/>
      <c r="J49" s="36"/>
      <c r="K49" s="36"/>
      <c r="L49" s="36"/>
      <c r="M49" s="36"/>
      <c r="N49" s="36"/>
      <c r="O49" s="36"/>
      <c r="P49" s="36"/>
      <c r="Q49" s="37"/>
      <c r="R49" s="37"/>
      <c r="S49" s="37"/>
      <c r="T49" s="37"/>
      <c r="U49" s="37"/>
      <c r="V49" s="37"/>
      <c r="W49" s="37"/>
      <c r="X49" s="38"/>
      <c r="Y49" s="38"/>
      <c r="Z49" s="38"/>
      <c r="AA49" s="38"/>
      <c r="AB49" s="38"/>
      <c r="AC49" s="38"/>
      <c r="AD49" s="38"/>
      <c r="AE49" s="39"/>
      <c r="AF49" s="39"/>
      <c r="AG49" s="39"/>
      <c r="AI49" s="40">
        <f>SUM(C49:AG49)</f>
        <v>0</v>
      </c>
      <c r="AJ49" s="40">
        <f>B49-AI49</f>
        <v>31</v>
      </c>
      <c r="AK49" s="41">
        <f>IFERROR(AI49/B49,0)</f>
        <v>0</v>
      </c>
      <c r="AL49" s="41">
        <f>AK49</f>
        <v>0</v>
      </c>
    </row>
    <row r="50" spans="1:38" x14ac:dyDescent="0.2">
      <c r="A50" s="42" t="s">
        <v>34</v>
      </c>
      <c r="B50" s="43">
        <v>28</v>
      </c>
      <c r="C50" s="35"/>
      <c r="D50" s="35"/>
      <c r="E50" s="35"/>
      <c r="F50" s="35"/>
      <c r="G50" s="35"/>
      <c r="H50" s="35"/>
      <c r="I50" s="35"/>
      <c r="J50" s="36"/>
      <c r="K50" s="36"/>
      <c r="L50" s="36"/>
      <c r="M50" s="36"/>
      <c r="N50" s="36"/>
      <c r="O50" s="36"/>
      <c r="P50" s="36"/>
      <c r="Q50" s="37"/>
      <c r="R50" s="37"/>
      <c r="S50" s="37"/>
      <c r="T50" s="37"/>
      <c r="U50" s="37"/>
      <c r="V50" s="37"/>
      <c r="W50" s="37"/>
      <c r="X50" s="38"/>
      <c r="Y50" s="38"/>
      <c r="Z50" s="38"/>
      <c r="AA50" s="38"/>
      <c r="AB50" s="38"/>
      <c r="AC50" s="38"/>
      <c r="AD50" s="38"/>
      <c r="AE50" s="39"/>
      <c r="AF50" s="39"/>
      <c r="AG50" s="39"/>
      <c r="AI50" s="44">
        <f>SUM(C50:AG50)</f>
        <v>0</v>
      </c>
      <c r="AJ50" s="44">
        <f>B50-AI50</f>
        <v>28</v>
      </c>
      <c r="AK50" s="45">
        <f>IFERROR(AI50/B50,0)</f>
        <v>0</v>
      </c>
      <c r="AL50" s="45">
        <f>AK50</f>
        <v>0</v>
      </c>
    </row>
    <row r="51" spans="1:38" x14ac:dyDescent="0.2">
      <c r="A51" s="33" t="s">
        <v>35</v>
      </c>
      <c r="B51" s="34">
        <v>150</v>
      </c>
      <c r="C51" s="35"/>
      <c r="D51" s="35"/>
      <c r="E51" s="35"/>
      <c r="F51" s="35"/>
      <c r="G51" s="35"/>
      <c r="H51" s="35"/>
      <c r="I51" s="35"/>
      <c r="J51" s="36"/>
      <c r="K51" s="36"/>
      <c r="L51" s="36"/>
      <c r="M51" s="36"/>
      <c r="N51" s="36"/>
      <c r="O51" s="36"/>
      <c r="P51" s="36"/>
      <c r="Q51" s="37"/>
      <c r="R51" s="37"/>
      <c r="S51" s="37"/>
      <c r="T51" s="37"/>
      <c r="U51" s="37"/>
      <c r="V51" s="37"/>
      <c r="W51" s="37"/>
      <c r="X51" s="38"/>
      <c r="Y51" s="38"/>
      <c r="Z51" s="38"/>
      <c r="AA51" s="38"/>
      <c r="AB51" s="38"/>
      <c r="AC51" s="38"/>
      <c r="AD51" s="38"/>
      <c r="AE51" s="39"/>
      <c r="AF51" s="39"/>
      <c r="AG51" s="39"/>
      <c r="AI51" s="40">
        <f>SUM(C51:AG51)</f>
        <v>0</v>
      </c>
      <c r="AJ51" s="40">
        <f>B51-AI51</f>
        <v>150</v>
      </c>
      <c r="AK51" s="41">
        <f>IFERROR(AI51/B51,0)</f>
        <v>0</v>
      </c>
      <c r="AL51" s="41">
        <f>AK51</f>
        <v>0</v>
      </c>
    </row>
    <row r="52" spans="1:38" x14ac:dyDescent="0.2">
      <c r="A52" s="42" t="s">
        <v>36</v>
      </c>
      <c r="B52" s="43">
        <v>50</v>
      </c>
      <c r="C52" s="35"/>
      <c r="D52" s="35"/>
      <c r="E52" s="35"/>
      <c r="F52" s="35"/>
      <c r="G52" s="35"/>
      <c r="H52" s="35"/>
      <c r="I52" s="35"/>
      <c r="J52" s="36"/>
      <c r="K52" s="36"/>
      <c r="L52" s="36"/>
      <c r="M52" s="36"/>
      <c r="N52" s="36"/>
      <c r="O52" s="36"/>
      <c r="P52" s="36"/>
      <c r="Q52" s="37"/>
      <c r="R52" s="37"/>
      <c r="S52" s="37"/>
      <c r="T52" s="37"/>
      <c r="U52" s="37"/>
      <c r="V52" s="37"/>
      <c r="W52" s="37"/>
      <c r="X52" s="38"/>
      <c r="Y52" s="38"/>
      <c r="Z52" s="38"/>
      <c r="AA52" s="38"/>
      <c r="AB52" s="38"/>
      <c r="AC52" s="38"/>
      <c r="AD52" s="38"/>
      <c r="AE52" s="39"/>
      <c r="AF52" s="39"/>
      <c r="AG52" s="39"/>
      <c r="AI52" s="44">
        <f>SUM(C52:AG52)</f>
        <v>0</v>
      </c>
      <c r="AJ52" s="44">
        <f>B52-AI52</f>
        <v>50</v>
      </c>
      <c r="AK52" s="45">
        <f>IFERROR(AI52/B52,0)</f>
        <v>0</v>
      </c>
      <c r="AL52" s="45">
        <f>AK52</f>
        <v>0</v>
      </c>
    </row>
    <row r="53" spans="1:38" x14ac:dyDescent="0.2">
      <c r="A53" s="33" t="s">
        <v>37</v>
      </c>
      <c r="B53" s="34">
        <v>186</v>
      </c>
      <c r="C53" s="35"/>
      <c r="D53" s="35"/>
      <c r="E53" s="35"/>
      <c r="F53" s="35"/>
      <c r="G53" s="35"/>
      <c r="H53" s="35"/>
      <c r="I53" s="35"/>
      <c r="J53" s="36"/>
      <c r="K53" s="36"/>
      <c r="L53" s="36"/>
      <c r="M53" s="36"/>
      <c r="N53" s="36"/>
      <c r="O53" s="36"/>
      <c r="P53" s="36"/>
      <c r="Q53" s="37"/>
      <c r="R53" s="37"/>
      <c r="S53" s="37"/>
      <c r="T53" s="37"/>
      <c r="U53" s="37"/>
      <c r="V53" s="37"/>
      <c r="W53" s="37"/>
      <c r="X53" s="38"/>
      <c r="Y53" s="38"/>
      <c r="Z53" s="38"/>
      <c r="AA53" s="38"/>
      <c r="AB53" s="38"/>
      <c r="AC53" s="38"/>
      <c r="AD53" s="38"/>
      <c r="AE53" s="39"/>
      <c r="AF53" s="39"/>
      <c r="AG53" s="39"/>
      <c r="AI53" s="40">
        <f>SUM(C53:AG53)</f>
        <v>0</v>
      </c>
      <c r="AJ53" s="40">
        <f>B53-AI53</f>
        <v>186</v>
      </c>
      <c r="AK53" s="41">
        <f>IFERROR(AI53/B53,0)</f>
        <v>0</v>
      </c>
      <c r="AL53" s="41">
        <f>AK53</f>
        <v>0</v>
      </c>
    </row>
    <row r="54" spans="1:38" x14ac:dyDescent="0.2">
      <c r="A54" s="42" t="s">
        <v>38</v>
      </c>
      <c r="B54" s="43">
        <v>310</v>
      </c>
      <c r="C54" s="35"/>
      <c r="D54" s="35"/>
      <c r="E54" s="35"/>
      <c r="F54" s="35"/>
      <c r="G54" s="35"/>
      <c r="H54" s="35"/>
      <c r="I54" s="35"/>
      <c r="J54" s="36"/>
      <c r="K54" s="36"/>
      <c r="L54" s="36"/>
      <c r="M54" s="36"/>
      <c r="N54" s="36"/>
      <c r="O54" s="36"/>
      <c r="P54" s="36"/>
      <c r="Q54" s="37"/>
      <c r="R54" s="37"/>
      <c r="S54" s="37"/>
      <c r="T54" s="37"/>
      <c r="U54" s="37"/>
      <c r="V54" s="37"/>
      <c r="W54" s="37"/>
      <c r="X54" s="38"/>
      <c r="Y54" s="38"/>
      <c r="Z54" s="38"/>
      <c r="AA54" s="38"/>
      <c r="AB54" s="38"/>
      <c r="AC54" s="38"/>
      <c r="AD54" s="38"/>
      <c r="AE54" s="39"/>
      <c r="AF54" s="39"/>
      <c r="AG54" s="39"/>
      <c r="AI54" s="44">
        <f>SUM(C54:AG54)</f>
        <v>0</v>
      </c>
      <c r="AJ54" s="44">
        <f>B54-AI54</f>
        <v>310</v>
      </c>
      <c r="AK54" s="45">
        <f>IFERROR(AI54/B54,0)</f>
        <v>0</v>
      </c>
      <c r="AL54" s="45">
        <f>AK54</f>
        <v>0</v>
      </c>
    </row>
    <row r="55" spans="1:38" x14ac:dyDescent="0.2">
      <c r="A55" s="33" t="s">
        <v>39</v>
      </c>
      <c r="B55" s="34">
        <v>31</v>
      </c>
      <c r="C55" s="35"/>
      <c r="D55" s="35"/>
      <c r="E55" s="35"/>
      <c r="F55" s="35"/>
      <c r="G55" s="35"/>
      <c r="H55" s="35"/>
      <c r="I55" s="35"/>
      <c r="J55" s="36"/>
      <c r="K55" s="36"/>
      <c r="L55" s="36"/>
      <c r="M55" s="36"/>
      <c r="N55" s="36"/>
      <c r="O55" s="36"/>
      <c r="P55" s="36"/>
      <c r="Q55" s="37"/>
      <c r="R55" s="37"/>
      <c r="S55" s="37"/>
      <c r="T55" s="37"/>
      <c r="U55" s="37"/>
      <c r="V55" s="37"/>
      <c r="W55" s="37"/>
      <c r="X55" s="38"/>
      <c r="Y55" s="38"/>
      <c r="Z55" s="38"/>
      <c r="AA55" s="38"/>
      <c r="AB55" s="38"/>
      <c r="AC55" s="38"/>
      <c r="AD55" s="38"/>
      <c r="AE55" s="39"/>
      <c r="AF55" s="39"/>
      <c r="AG55" s="39"/>
      <c r="AI55" s="40">
        <f>SUM(C55:AG55)</f>
        <v>0</v>
      </c>
      <c r="AJ55" s="40">
        <f>B55-AI55</f>
        <v>31</v>
      </c>
      <c r="AK55" s="41">
        <f>IFERROR(AI55/B55,0)</f>
        <v>0</v>
      </c>
      <c r="AL55" s="41">
        <f>AK55</f>
        <v>0</v>
      </c>
    </row>
    <row r="56" spans="1:38" x14ac:dyDescent="0.2">
      <c r="A56" s="42" t="s">
        <v>40</v>
      </c>
      <c r="B56" s="43">
        <v>31</v>
      </c>
      <c r="C56" s="35"/>
      <c r="D56" s="35"/>
      <c r="E56" s="35"/>
      <c r="F56" s="35"/>
      <c r="G56" s="35"/>
      <c r="H56" s="35"/>
      <c r="I56" s="35"/>
      <c r="J56" s="36"/>
      <c r="K56" s="36"/>
      <c r="L56" s="36"/>
      <c r="M56" s="36"/>
      <c r="N56" s="36"/>
      <c r="O56" s="36"/>
      <c r="P56" s="36"/>
      <c r="Q56" s="37"/>
      <c r="R56" s="37"/>
      <c r="S56" s="37"/>
      <c r="T56" s="37"/>
      <c r="U56" s="37"/>
      <c r="V56" s="37"/>
      <c r="W56" s="37"/>
      <c r="X56" s="38"/>
      <c r="Y56" s="38"/>
      <c r="Z56" s="38"/>
      <c r="AA56" s="38"/>
      <c r="AB56" s="38"/>
      <c r="AC56" s="38"/>
      <c r="AD56" s="38"/>
      <c r="AE56" s="39"/>
      <c r="AF56" s="39"/>
      <c r="AG56" s="39"/>
      <c r="AI56" s="44">
        <f>SUM(C56:AG56)</f>
        <v>0</v>
      </c>
      <c r="AJ56" s="44">
        <f>B56-AI56</f>
        <v>31</v>
      </c>
      <c r="AK56" s="45">
        <f>IFERROR(AI56/B56,0)</f>
        <v>0</v>
      </c>
      <c r="AL56" s="45">
        <f>AK56</f>
        <v>0</v>
      </c>
    </row>
    <row r="57" spans="1:38" x14ac:dyDescent="0.2">
      <c r="A57" s="33" t="s">
        <v>41</v>
      </c>
      <c r="B57" s="34">
        <v>62</v>
      </c>
      <c r="C57" s="35"/>
      <c r="D57" s="35"/>
      <c r="E57" s="35"/>
      <c r="F57" s="35"/>
      <c r="G57" s="35"/>
      <c r="H57" s="35"/>
      <c r="I57" s="35"/>
      <c r="J57" s="36"/>
      <c r="K57" s="36"/>
      <c r="L57" s="36"/>
      <c r="M57" s="36"/>
      <c r="N57" s="36"/>
      <c r="O57" s="36"/>
      <c r="P57" s="36"/>
      <c r="Q57" s="37"/>
      <c r="R57" s="37"/>
      <c r="S57" s="37"/>
      <c r="T57" s="37"/>
      <c r="U57" s="37"/>
      <c r="V57" s="37"/>
      <c r="W57" s="37"/>
      <c r="X57" s="38"/>
      <c r="Y57" s="38"/>
      <c r="Z57" s="38"/>
      <c r="AA57" s="38"/>
      <c r="AB57" s="38"/>
      <c r="AC57" s="38"/>
      <c r="AD57" s="38"/>
      <c r="AE57" s="39"/>
      <c r="AF57" s="39"/>
      <c r="AG57" s="39"/>
      <c r="AI57" s="40">
        <f>SUM(C57:AG57)</f>
        <v>0</v>
      </c>
      <c r="AJ57" s="40">
        <f>B57-AI57</f>
        <v>62</v>
      </c>
      <c r="AK57" s="41">
        <f>IFERROR(AI57/B57,0)</f>
        <v>0</v>
      </c>
      <c r="AL57" s="41">
        <f>AK57</f>
        <v>0</v>
      </c>
    </row>
    <row r="58" spans="1:38" x14ac:dyDescent="0.2">
      <c r="A58" s="42" t="s">
        <v>42</v>
      </c>
      <c r="B58" s="43">
        <v>62</v>
      </c>
      <c r="C58" s="35"/>
      <c r="D58" s="35"/>
      <c r="E58" s="35"/>
      <c r="F58" s="35"/>
      <c r="G58" s="35"/>
      <c r="H58" s="35"/>
      <c r="I58" s="35"/>
      <c r="J58" s="36"/>
      <c r="K58" s="36"/>
      <c r="L58" s="36"/>
      <c r="M58" s="36"/>
      <c r="N58" s="36"/>
      <c r="O58" s="36"/>
      <c r="P58" s="36"/>
      <c r="Q58" s="37"/>
      <c r="R58" s="37"/>
      <c r="S58" s="37"/>
      <c r="T58" s="37"/>
      <c r="U58" s="37"/>
      <c r="V58" s="37"/>
      <c r="W58" s="37"/>
      <c r="X58" s="38"/>
      <c r="Y58" s="38"/>
      <c r="Z58" s="38"/>
      <c r="AA58" s="38"/>
      <c r="AB58" s="38"/>
      <c r="AC58" s="38"/>
      <c r="AD58" s="38"/>
      <c r="AE58" s="39"/>
      <c r="AF58" s="39"/>
      <c r="AG58" s="39"/>
      <c r="AI58" s="44">
        <f>SUM(C58:AG58)</f>
        <v>0</v>
      </c>
      <c r="AJ58" s="44">
        <f>B58-AI58</f>
        <v>62</v>
      </c>
      <c r="AK58" s="45">
        <f>IFERROR(AI58/B58,0)</f>
        <v>0</v>
      </c>
      <c r="AL58" s="45">
        <f>AK58</f>
        <v>0</v>
      </c>
    </row>
    <row r="59" spans="1:38" x14ac:dyDescent="0.2">
      <c r="A59" s="33" t="s">
        <v>43</v>
      </c>
      <c r="B59" s="34">
        <v>155</v>
      </c>
      <c r="C59" s="35"/>
      <c r="D59" s="35"/>
      <c r="E59" s="35"/>
      <c r="F59" s="35"/>
      <c r="G59" s="35"/>
      <c r="H59" s="35"/>
      <c r="I59" s="35"/>
      <c r="J59" s="36"/>
      <c r="K59" s="36"/>
      <c r="L59" s="36"/>
      <c r="M59" s="36"/>
      <c r="N59" s="36"/>
      <c r="O59" s="36"/>
      <c r="P59" s="36"/>
      <c r="Q59" s="37"/>
      <c r="R59" s="37"/>
      <c r="S59" s="37"/>
      <c r="T59" s="37"/>
      <c r="U59" s="37"/>
      <c r="V59" s="37"/>
      <c r="W59" s="37"/>
      <c r="X59" s="38"/>
      <c r="Y59" s="38"/>
      <c r="Z59" s="38"/>
      <c r="AA59" s="38"/>
      <c r="AB59" s="38"/>
      <c r="AC59" s="38"/>
      <c r="AD59" s="38"/>
      <c r="AE59" s="39"/>
      <c r="AF59" s="39"/>
      <c r="AG59" s="39"/>
      <c r="AI59" s="40">
        <f>SUM(C59:AG59)</f>
        <v>0</v>
      </c>
      <c r="AJ59" s="40">
        <f>B59-AI59</f>
        <v>155</v>
      </c>
      <c r="AK59" s="41">
        <f>IFERROR(AI59/B59,0)</f>
        <v>0</v>
      </c>
      <c r="AL59" s="41">
        <f>AK59</f>
        <v>0</v>
      </c>
    </row>
    <row r="60" spans="1:38" x14ac:dyDescent="0.2">
      <c r="A60" s="42" t="s">
        <v>44</v>
      </c>
      <c r="B60" s="43">
        <v>30</v>
      </c>
      <c r="C60" s="35"/>
      <c r="D60" s="35"/>
      <c r="E60" s="35"/>
      <c r="F60" s="35"/>
      <c r="G60" s="35"/>
      <c r="H60" s="35"/>
      <c r="I60" s="35"/>
      <c r="J60" s="36"/>
      <c r="K60" s="36"/>
      <c r="L60" s="36"/>
      <c r="M60" s="36"/>
      <c r="N60" s="36"/>
      <c r="O60" s="36"/>
      <c r="P60" s="36"/>
      <c r="Q60" s="37"/>
      <c r="R60" s="37"/>
      <c r="S60" s="37"/>
      <c r="T60" s="37"/>
      <c r="U60" s="37"/>
      <c r="V60" s="37"/>
      <c r="W60" s="37"/>
      <c r="X60" s="38"/>
      <c r="Y60" s="38"/>
      <c r="Z60" s="38"/>
      <c r="AA60" s="38"/>
      <c r="AB60" s="38"/>
      <c r="AC60" s="38"/>
      <c r="AD60" s="38"/>
      <c r="AE60" s="39"/>
      <c r="AF60" s="39"/>
      <c r="AG60" s="39"/>
      <c r="AI60" s="44">
        <f>SUM(C60:AG60)</f>
        <v>0</v>
      </c>
      <c r="AJ60" s="44">
        <f>B60-AI60</f>
        <v>30</v>
      </c>
      <c r="AK60" s="45">
        <f>IFERROR(AI60/B60,0)</f>
        <v>0</v>
      </c>
      <c r="AL60" s="45">
        <f>AK60</f>
        <v>0</v>
      </c>
    </row>
    <row r="61" spans="1:38" x14ac:dyDescent="0.2">
      <c r="A61" s="33" t="s">
        <v>45</v>
      </c>
      <c r="B61" s="34">
        <v>10</v>
      </c>
      <c r="C61" s="35"/>
      <c r="D61" s="35"/>
      <c r="E61" s="35"/>
      <c r="F61" s="35"/>
      <c r="G61" s="35"/>
      <c r="H61" s="35"/>
      <c r="I61" s="35"/>
      <c r="J61" s="36"/>
      <c r="K61" s="36"/>
      <c r="L61" s="36"/>
      <c r="M61" s="36"/>
      <c r="N61" s="36"/>
      <c r="O61" s="36"/>
      <c r="P61" s="36"/>
      <c r="Q61" s="37"/>
      <c r="R61" s="37"/>
      <c r="S61" s="37"/>
      <c r="T61" s="37"/>
      <c r="U61" s="37"/>
      <c r="V61" s="37"/>
      <c r="W61" s="37"/>
      <c r="X61" s="38"/>
      <c r="Y61" s="38"/>
      <c r="Z61" s="38"/>
      <c r="AA61" s="38"/>
      <c r="AB61" s="38"/>
      <c r="AC61" s="38"/>
      <c r="AD61" s="38"/>
      <c r="AE61" s="39"/>
      <c r="AF61" s="39"/>
      <c r="AG61" s="39"/>
      <c r="AI61" s="40">
        <f>SUM(C61:AG61)</f>
        <v>0</v>
      </c>
      <c r="AJ61" s="40">
        <f>B61-AI61</f>
        <v>10</v>
      </c>
      <c r="AK61" s="41">
        <f>IFERROR(AI61/B61,0)</f>
        <v>0</v>
      </c>
      <c r="AL61" s="41">
        <f>AK61</f>
        <v>0</v>
      </c>
    </row>
    <row r="62" spans="1:38" x14ac:dyDescent="0.2">
      <c r="A62" s="42" t="s">
        <v>46</v>
      </c>
      <c r="B62" s="43">
        <v>31</v>
      </c>
      <c r="C62" s="35"/>
      <c r="D62" s="35"/>
      <c r="E62" s="35"/>
      <c r="F62" s="35"/>
      <c r="G62" s="35"/>
      <c r="H62" s="35"/>
      <c r="I62" s="35"/>
      <c r="J62" s="36"/>
      <c r="K62" s="36"/>
      <c r="L62" s="36"/>
      <c r="M62" s="36"/>
      <c r="N62" s="36"/>
      <c r="O62" s="36"/>
      <c r="P62" s="36"/>
      <c r="Q62" s="37"/>
      <c r="R62" s="37"/>
      <c r="S62" s="37"/>
      <c r="T62" s="37"/>
      <c r="U62" s="37"/>
      <c r="V62" s="37"/>
      <c r="W62" s="37"/>
      <c r="X62" s="38"/>
      <c r="Y62" s="38"/>
      <c r="Z62" s="38"/>
      <c r="AA62" s="38"/>
      <c r="AB62" s="38"/>
      <c r="AC62" s="38"/>
      <c r="AD62" s="38"/>
      <c r="AE62" s="39"/>
      <c r="AF62" s="39"/>
      <c r="AG62" s="39"/>
      <c r="AI62" s="44">
        <f>SUM(C62:AG62)</f>
        <v>0</v>
      </c>
      <c r="AJ62" s="44">
        <f>B62-AI62</f>
        <v>31</v>
      </c>
      <c r="AK62" s="45">
        <f>IFERROR(AI62/B62,0)</f>
        <v>0</v>
      </c>
      <c r="AL62" s="45">
        <f>AK62</f>
        <v>0</v>
      </c>
    </row>
    <row r="63" spans="1:38" x14ac:dyDescent="0.2">
      <c r="A63" s="33" t="s">
        <v>47</v>
      </c>
      <c r="B63" s="34">
        <v>31</v>
      </c>
      <c r="C63" s="35"/>
      <c r="D63" s="35"/>
      <c r="E63" s="35"/>
      <c r="F63" s="35"/>
      <c r="G63" s="35"/>
      <c r="H63" s="35"/>
      <c r="I63" s="35"/>
      <c r="J63" s="36"/>
      <c r="K63" s="36"/>
      <c r="L63" s="36"/>
      <c r="M63" s="36"/>
      <c r="N63" s="36"/>
      <c r="O63" s="36"/>
      <c r="P63" s="36"/>
      <c r="Q63" s="37"/>
      <c r="R63" s="37"/>
      <c r="S63" s="37"/>
      <c r="T63" s="37"/>
      <c r="U63" s="37"/>
      <c r="V63" s="37"/>
      <c r="W63" s="37"/>
      <c r="X63" s="38"/>
      <c r="Y63" s="38"/>
      <c r="Z63" s="38"/>
      <c r="AA63" s="38"/>
      <c r="AB63" s="38"/>
      <c r="AC63" s="38"/>
      <c r="AD63" s="38"/>
      <c r="AE63" s="39"/>
      <c r="AF63" s="39"/>
      <c r="AG63" s="39"/>
      <c r="AI63" s="40">
        <f>SUM(C63:AG63)</f>
        <v>0</v>
      </c>
      <c r="AJ63" s="40">
        <f>B63-AI63</f>
        <v>31</v>
      </c>
      <c r="AK63" s="41">
        <f>IFERROR(AI63/B63,0)</f>
        <v>0</v>
      </c>
      <c r="AL63" s="41">
        <f>AK63</f>
        <v>0</v>
      </c>
    </row>
    <row r="64" spans="1:38" x14ac:dyDescent="0.2">
      <c r="A64" s="42" t="s">
        <v>48</v>
      </c>
      <c r="B64" s="43">
        <v>31</v>
      </c>
      <c r="C64" s="35"/>
      <c r="D64" s="35"/>
      <c r="E64" s="35"/>
      <c r="F64" s="35"/>
      <c r="G64" s="35"/>
      <c r="H64" s="35"/>
      <c r="I64" s="35"/>
      <c r="J64" s="36"/>
      <c r="K64" s="36"/>
      <c r="L64" s="36"/>
      <c r="M64" s="36"/>
      <c r="N64" s="36"/>
      <c r="O64" s="36"/>
      <c r="P64" s="36"/>
      <c r="Q64" s="37"/>
      <c r="R64" s="37"/>
      <c r="S64" s="37"/>
      <c r="T64" s="37"/>
      <c r="U64" s="37"/>
      <c r="V64" s="37"/>
      <c r="W64" s="37"/>
      <c r="X64" s="38"/>
      <c r="Y64" s="38"/>
      <c r="Z64" s="38"/>
      <c r="AA64" s="38"/>
      <c r="AB64" s="38"/>
      <c r="AC64" s="38"/>
      <c r="AD64" s="38"/>
      <c r="AE64" s="39"/>
      <c r="AF64" s="39"/>
      <c r="AG64" s="39"/>
      <c r="AI64" s="44">
        <f>SUM(C64:AG64)</f>
        <v>0</v>
      </c>
      <c r="AJ64" s="44">
        <f>B64-AI64</f>
        <v>31</v>
      </c>
      <c r="AK64" s="45">
        <f>IFERROR(AI64/B64,0)</f>
        <v>0</v>
      </c>
      <c r="AL64" s="45">
        <f>AK64</f>
        <v>0</v>
      </c>
    </row>
    <row r="200" spans="3:33" hidden="1" x14ac:dyDescent="0.2">
      <c r="C200">
        <f>SUM(C47:C64)</f>
        <v>1</v>
      </c>
      <c r="D200">
        <f>SUM(D47:D64)</f>
        <v>1</v>
      </c>
      <c r="E200">
        <f>SUM(E47:E64)</f>
        <v>0</v>
      </c>
      <c r="F200">
        <f>SUM(F47:F64)</f>
        <v>1</v>
      </c>
      <c r="G200">
        <f>SUM(G47:G64)</f>
        <v>0</v>
      </c>
      <c r="H200">
        <f>SUM(H47:H64)</f>
        <v>0</v>
      </c>
      <c r="I200">
        <f>SUM(I47:I64)</f>
        <v>0</v>
      </c>
      <c r="J200">
        <f>SUM(J47:J64)</f>
        <v>0</v>
      </c>
      <c r="K200">
        <f>SUM(K47:K64)</f>
        <v>0</v>
      </c>
      <c r="L200">
        <f>SUM(L47:L64)</f>
        <v>0</v>
      </c>
      <c r="M200">
        <f>SUM(M47:M64)</f>
        <v>0</v>
      </c>
      <c r="N200">
        <f>SUM(N47:N64)</f>
        <v>0</v>
      </c>
      <c r="O200">
        <f>SUM(O47:O64)</f>
        <v>0</v>
      </c>
      <c r="P200">
        <f>SUM(P47:P64)</f>
        <v>0</v>
      </c>
      <c r="Q200">
        <f>SUM(Q47:Q64)</f>
        <v>0</v>
      </c>
      <c r="R200">
        <f>SUM(R47:R64)</f>
        <v>0</v>
      </c>
      <c r="S200">
        <f>SUM(S47:S64)</f>
        <v>0</v>
      </c>
      <c r="T200">
        <f>SUM(T47:T64)</f>
        <v>0</v>
      </c>
      <c r="U200">
        <f>SUM(U47:U64)</f>
        <v>0</v>
      </c>
      <c r="V200">
        <f>SUM(V47:V64)</f>
        <v>0</v>
      </c>
      <c r="W200">
        <f>SUM(W47:W64)</f>
        <v>0</v>
      </c>
      <c r="X200">
        <f>SUM(X47:X64)</f>
        <v>0</v>
      </c>
      <c r="Y200">
        <f>SUM(Y47:Y64)</f>
        <v>0</v>
      </c>
      <c r="Z200">
        <f>SUM(Z47:Z64)</f>
        <v>0</v>
      </c>
      <c r="AA200">
        <f>SUM(AA47:AA64)</f>
        <v>0</v>
      </c>
      <c r="AB200">
        <f>SUM(AB47:AB64)</f>
        <v>0</v>
      </c>
      <c r="AC200">
        <f>SUM(AC47:AC64)</f>
        <v>0</v>
      </c>
      <c r="AD200">
        <f>SUM(AD47:AD64)</f>
        <v>0</v>
      </c>
      <c r="AE200">
        <f>SUM(AE47:AE64)</f>
        <v>0</v>
      </c>
      <c r="AF200">
        <f>SUM(AF47:AF64)</f>
        <v>0</v>
      </c>
      <c r="AG200">
        <f>SUM(AG47:AG64)</f>
        <v>0</v>
      </c>
    </row>
    <row r="201" spans="3:33" hidden="1" x14ac:dyDescent="0.2">
      <c r="C201" s="46">
        <f>C200/18</f>
        <v>5.5555555555555552E-2</v>
      </c>
      <c r="D201" s="46">
        <f>D200/18</f>
        <v>5.5555555555555552E-2</v>
      </c>
      <c r="E201" s="46">
        <f>E200/18</f>
        <v>0</v>
      </c>
      <c r="F201" s="46">
        <f>F200/18</f>
        <v>5.5555555555555552E-2</v>
      </c>
      <c r="G201" s="46">
        <f>G200/18</f>
        <v>0</v>
      </c>
      <c r="H201" s="46">
        <f>H200/18</f>
        <v>0</v>
      </c>
      <c r="I201" s="46">
        <f>I200/18</f>
        <v>0</v>
      </c>
      <c r="J201" s="46">
        <f>J200/18</f>
        <v>0</v>
      </c>
      <c r="K201" s="46">
        <f>K200/18</f>
        <v>0</v>
      </c>
      <c r="L201" s="46">
        <f>L200/18</f>
        <v>0</v>
      </c>
      <c r="M201" s="46">
        <f>M200/18</f>
        <v>0</v>
      </c>
      <c r="N201" s="46">
        <f>N200/18</f>
        <v>0</v>
      </c>
      <c r="O201" s="46">
        <f>O200/18</f>
        <v>0</v>
      </c>
      <c r="P201" s="46">
        <f>P200/18</f>
        <v>0</v>
      </c>
      <c r="Q201" s="46">
        <f>Q200/18</f>
        <v>0</v>
      </c>
      <c r="R201" s="46">
        <f>R200/18</f>
        <v>0</v>
      </c>
      <c r="S201" s="46">
        <f>S200/18</f>
        <v>0</v>
      </c>
      <c r="T201" s="46">
        <f>T200/18</f>
        <v>0</v>
      </c>
      <c r="U201" s="46">
        <f>U200/18</f>
        <v>0</v>
      </c>
      <c r="V201" s="46">
        <f>V200/18</f>
        <v>0</v>
      </c>
      <c r="W201" s="46">
        <f>W200/18</f>
        <v>0</v>
      </c>
      <c r="X201" s="46">
        <f>X200/18</f>
        <v>0</v>
      </c>
      <c r="Y201" s="46">
        <f>Y200/18</f>
        <v>0</v>
      </c>
      <c r="Z201" s="46">
        <f>Z200/18</f>
        <v>0</v>
      </c>
      <c r="AA201" s="46">
        <f>AA200/18</f>
        <v>0</v>
      </c>
      <c r="AB201" s="46">
        <f>AB200/18</f>
        <v>0</v>
      </c>
      <c r="AC201" s="46">
        <f>AC200/18</f>
        <v>0</v>
      </c>
      <c r="AD201" s="46">
        <f>AD200/18</f>
        <v>0</v>
      </c>
      <c r="AE201" s="46">
        <f>AE200/18</f>
        <v>0</v>
      </c>
      <c r="AF201" s="46">
        <f>AF200/18</f>
        <v>0</v>
      </c>
      <c r="AG201" s="46">
        <f>AG200/18</f>
        <v>0</v>
      </c>
    </row>
  </sheetData>
  <mergeCells count="43">
    <mergeCell ref="AL43:AL45"/>
    <mergeCell ref="X43:AD43"/>
    <mergeCell ref="AE43:AG43"/>
    <mergeCell ref="AI43:AI45"/>
    <mergeCell ref="AJ43:AJ45"/>
    <mergeCell ref="AK43:AK45"/>
    <mergeCell ref="A43:A45"/>
    <mergeCell ref="B43:B45"/>
    <mergeCell ref="C43:I43"/>
    <mergeCell ref="J43:P43"/>
    <mergeCell ref="Q43:W43"/>
    <mergeCell ref="AE28:AG28"/>
    <mergeCell ref="A39:B39"/>
    <mergeCell ref="A40:B40"/>
    <mergeCell ref="A41:B41"/>
    <mergeCell ref="A42:B42"/>
    <mergeCell ref="C42:I42"/>
    <mergeCell ref="J42:P42"/>
    <mergeCell ref="Q42:W42"/>
    <mergeCell ref="X42:AD42"/>
    <mergeCell ref="AE42:AG42"/>
    <mergeCell ref="U24:AB24"/>
    <mergeCell ref="U25:AB25"/>
    <mergeCell ref="A27:B38"/>
    <mergeCell ref="C28:I28"/>
    <mergeCell ref="J28:P28"/>
    <mergeCell ref="Q28:W28"/>
    <mergeCell ref="X28:AD28"/>
    <mergeCell ref="U19:AB19"/>
    <mergeCell ref="U20:AB20"/>
    <mergeCell ref="U21:AB21"/>
    <mergeCell ref="U22:AB22"/>
    <mergeCell ref="U23:AB23"/>
    <mergeCell ref="B7:C7"/>
    <mergeCell ref="U15:AB15"/>
    <mergeCell ref="U16:AB16"/>
    <mergeCell ref="U17:AB17"/>
    <mergeCell ref="U18:AB18"/>
    <mergeCell ref="A1:C2"/>
    <mergeCell ref="U1:AB1"/>
    <mergeCell ref="A3:C3"/>
    <mergeCell ref="A5:C5"/>
    <mergeCell ref="B6:C6"/>
  </mergeCells>
  <conditionalFormatting sqref="AL47:AL64">
    <cfRule type="dataBar" priority="2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{6AE6295C-63E0-4AD3-A539-94E7D9AE869B}</x14:id>
        </ext>
      </extLst>
    </cfRule>
  </conditionalFormatting>
  <dataValidations count="1">
    <dataValidation type="list" allowBlank="1" sqref="C47:AG64" xr:uid="{00000000-0002-0000-0000-000000000000}">
      <formula1>"1,0"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E6295C-63E0-4AD3-A539-94E7D9AE869B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BE7B"/>
            </x14:dataBar>
          </x14:cfRule>
          <xm:sqref>AL47:AL64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2026-07-29T10:12:07Z</dcterms:created>
  <dcterms:modified xsi:type="dcterms:W3CDTF">2026-07-29T10:12:16Z</dcterms:modified>
  <dc:language>en-US</dc:language>
</cp:coreProperties>
</file>